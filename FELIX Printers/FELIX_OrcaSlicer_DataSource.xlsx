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Machines" sheetId="2" state="visible" r:id="rId4"/>
    <sheet name="Food_Material_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<sst xmlns="http://schemas.openxmlformats.org/spreadsheetml/2006/main" count="338" uniqueCount="141">
  <si>
    <t xml:space="preserve">FELIX Cura -&gt; OrcaSlicer machine profile generator - data source</t>
  </si>
  <si>
    <t xml:space="preserve">You hand-write, once, per printer model:</t>
  </si>
  <si>
    <t xml:space="preserve">  - the machine_model/*.json file (physical model: bed shape, buildplate STL/SVG, model_id)</t>
  </si>
  <si>
    <t xml:space="preserve">  - the common/base machine json it inherits from (e.g. 'FELIX Pro 3.json', or a shared</t>
  </si>
  <si>
    <t xml:space="preserve">    'fdm_felix_plastic_common.json' / 'fdm_felix_food_common.json') - this is where printable_area,</t>
  </si>
  <si>
    <t xml:space="preserve">    printable_height, and any other shared settings live ONCE.</t>
  </si>
  <si>
    <t xml:space="preserve">generate_orca_profiles.py only writes the LEAF variant files - one per nozzle-diameter (or</t>
  </si>
  <si>
    <t xml:space="preserve">nozzle-diameter-pair) preset - and each one just carries the nozzle-specific fields plus an</t>
  </si>
  <si>
    <t xml:space="preserve">'inherits' pointer to whichever base file you wrote by hand. Bed shape, buildplate, etc. are</t>
  </si>
  <si>
    <t xml:space="preserve">NOT duplicated into every leaf file; they come from whatever the 'Inherits' column names.</t>
  </si>
  <si>
    <t xml:space="preserve">Sheet 'Machines' is the single source of truth:</t>
  </si>
  <si>
    <t xml:space="preserve">  PrinterModel      - the physical printer, must match the name you gave it in machine_model/</t>
  </si>
  <si>
    <t xml:space="preserve">  VariantLabel       - human label for this nozzle config, used to build the filename</t>
  </si>
  <si>
    <t xml:space="preserve">  IsDouble           - TRUE = 2-extruder machine (nozzle_diameter becomes a 2-value array),</t>
  </si>
  <si>
    <t xml:space="preserve">                       FALSE = single-extruder machine</t>
  </si>
  <si>
    <t xml:space="preserve">  Nozzle1_mm          - nozzle diameter, extruder 1 (or the only extruder if single)</t>
  </si>
  <si>
    <t xml:space="preserve">  Nozzle2_mm          - nozzle diameter, extruder 2 - ONLY used when IsDouble = TRUE</t>
  </si>
  <si>
    <t xml:space="preserve">  Inherits            - name of the base/common file you hand-wrote (no .json extension needed,</t>
  </si>
  <si>
    <t xml:space="preserve">                       matches Orca's own convention of referencing by preset name)</t>
  </si>
  <si>
    <t xml:space="preserve">  PrinterVariant      - Orca's printer_variant field (usually the nozzle size as text)</t>
  </si>
  <si>
    <t xml:space="preserve">  ExtruderOffset      - only for IsDouble=TRUE: 'X1xY1;X2xY2', e.g. '0x0;30x0'. PLACEHOLDER -</t>
  </si>
  <si>
    <t xml:space="preserve">                       replace 30 with the real measured distance between your two nozzles.</t>
  </si>
  <si>
    <t xml:space="preserve">  GcodeFlavor         - defaults to 'repetier', matching your real sample file. Edit if wrong.</t>
  </si>
  <si>
    <t xml:space="preserve">  Filename             - computed for you, editable if you want a different naming convention.</t>
  </si>
  <si>
    <t xml:space="preserve">OPEN QUESTIONS (also flagged yellow/red in the sheet):</t>
  </si>
  <si>
    <t xml:space="preserve">  1. Brass ('b') vs hardened ('h') nozzle on the 4 plastic printers: kept as separate machine</t>
  </si>
  <si>
    <t xml:space="preserve">     rows here, matching your Cura variant list. If that split doesn't actually change any</t>
  </si>
  <si>
    <t xml:space="preserve">     machine-level limit (max temp etc.), consider moving it to a filament-level distinction</t>
  </si>
  <si>
    <t xml:space="preserve">     instead, same as you did for plastic/steel syringe on the food side.</t>
  </si>
  <si>
    <t xml:space="preserve">  2. ExtruderOffset values are placeholders - confirm real nozzle spacing on Double/Switch.</t>
  </si>
  <si>
    <t xml:space="preserve">  3. Matched-pair assumption: Double/Switch rows assume both nozzles are always the same</t>
  </si>
  <si>
    <t xml:space="preserve">     diameter. Add extra rows manually for any mismatched-diameter combos you actually use.</t>
  </si>
  <si>
    <t xml:space="preserve">Re-run generate_orca_profiles.py any time you edit this sheet to regenerate the leaf files.</t>
  </si>
  <si>
    <t xml:space="preserve">PrinterModel</t>
  </si>
  <si>
    <t xml:space="preserve">VariantLabel</t>
  </si>
  <si>
    <t xml:space="preserve">IsDouble</t>
  </si>
  <si>
    <t xml:space="preserve">Nozzle1_mm</t>
  </si>
  <si>
    <t xml:space="preserve">Nozzle2_mm</t>
  </si>
  <si>
    <t xml:space="preserve">Inherits</t>
  </si>
  <si>
    <t xml:space="preserve">PrinterVariant</t>
  </si>
  <si>
    <t xml:space="preserve">ExtruderOffset</t>
  </si>
  <si>
    <t xml:space="preserve">GcodeFlavor</t>
  </si>
  <si>
    <t xml:space="preserve">Filename</t>
  </si>
  <si>
    <t xml:space="preserve">FELIX Pro 3</t>
  </si>
  <si>
    <t xml:space="preserve">0.25mm nozzle  </t>
  </si>
  <si>
    <t xml:space="preserve">fdm_felix_pro_3</t>
  </si>
  <si>
    <t xml:space="preserve">0.25</t>
  </si>
  <si>
    <t xml:space="preserve">repetier</t>
  </si>
  <si>
    <t xml:space="preserve">FELIX Pro 3 0.25mm nozzle h.json</t>
  </si>
  <si>
    <t xml:space="preserve">0.35mm nozzle  </t>
  </si>
  <si>
    <t xml:space="preserve">0.35</t>
  </si>
  <si>
    <t xml:space="preserve">FELIX Pro 3 0.35mm nozzle b.json</t>
  </si>
  <si>
    <t xml:space="preserve">0.50mm nozzle  </t>
  </si>
  <si>
    <t xml:space="preserve">0.50</t>
  </si>
  <si>
    <t xml:space="preserve">FELIX Pro 3 0.50mm nozzle b.json</t>
  </si>
  <si>
    <t xml:space="preserve">0.70mm nozzle  </t>
  </si>
  <si>
    <t xml:space="preserve">0.70</t>
  </si>
  <si>
    <t xml:space="preserve">FELIX Pro 3 0.70mm nozzle h.json</t>
  </si>
  <si>
    <t xml:space="preserve">FELIX Pro L 3.0</t>
  </si>
  <si>
    <t xml:space="preserve">fdm_felix_pro_l_3</t>
  </si>
  <si>
    <t xml:space="preserve">FELIX Pro L 3.0 0.25mm nozzle h.json</t>
  </si>
  <si>
    <t xml:space="preserve">FELIX Pro L 3.0 0.35mm nozzle h.json</t>
  </si>
  <si>
    <t xml:space="preserve">FELIX Pro L 3.0 0.50mm nozzle h.json</t>
  </si>
  <si>
    <t xml:space="preserve">FELIX Pro L 3.0 0.70mm nozzle h.json</t>
  </si>
  <si>
    <t xml:space="preserve">FELIX Pro XL 3.0</t>
  </si>
  <si>
    <t xml:space="preserve">fdm_felix_pro_xl_3</t>
  </si>
  <si>
    <t xml:space="preserve">FELIX Pro XL 3.0 0.25mm nozzle h.json</t>
  </si>
  <si>
    <t xml:space="preserve">FELIX Pro XL 3.0 0.35mm nozzle b.json</t>
  </si>
  <si>
    <t xml:space="preserve">FELIX Pro XL 3.0 0.50mm nozzle b.json</t>
  </si>
  <si>
    <t xml:space="preserve">FELIX Pro XL 3.0 0.70mm nozzle h.json</t>
  </si>
  <si>
    <t xml:space="preserve">FELIX Tec 4</t>
  </si>
  <si>
    <t xml:space="preserve">fdm_felix_tec</t>
  </si>
  <si>
    <t xml:space="preserve">FELIX Tec 4 0.25mm nozzle h.json</t>
  </si>
  <si>
    <t xml:space="preserve">FELIX Tec 4 0.35mm nozzle b.json</t>
  </si>
  <si>
    <t xml:space="preserve">FELIX Tec 4 0.50mm nozzle b.json</t>
  </si>
  <si>
    <t xml:space="preserve">FELIX Tec 4 0.70mm nozzle h.json</t>
  </si>
  <si>
    <t xml:space="preserve">FELIX Food Single</t>
  </si>
  <si>
    <t xml:space="preserve">0.5mm nozzle</t>
  </si>
  <si>
    <t xml:space="preserve">fdm_felix_food</t>
  </si>
  <si>
    <t xml:space="preserve">0.5</t>
  </si>
  <si>
    <t xml:space="preserve">FELIX Food Single 0.5mm nozzle.json</t>
  </si>
  <si>
    <t xml:space="preserve">1.0mm nozzle</t>
  </si>
  <si>
    <t xml:space="preserve">1.0</t>
  </si>
  <si>
    <t xml:space="preserve">FELIX Food Single 1.0mm nozzle.json</t>
  </si>
  <si>
    <t xml:space="preserve">2.0mm nozzle</t>
  </si>
  <si>
    <t xml:space="preserve">2.0</t>
  </si>
  <si>
    <t xml:space="preserve">FELIX Food Single 2.0mm nozzle.json</t>
  </si>
  <si>
    <t xml:space="preserve">3.0mm nozzle</t>
  </si>
  <si>
    <t xml:space="preserve">3.0</t>
  </si>
  <si>
    <t xml:space="preserve">FELIX Food Single 3.0mm nozzle.json</t>
  </si>
  <si>
    <t xml:space="preserve">4.0mm nozzle</t>
  </si>
  <si>
    <t xml:space="preserve">4.0</t>
  </si>
  <si>
    <t xml:space="preserve">FELIX Food Single 4.0mm nozzle.json</t>
  </si>
  <si>
    <t xml:space="preserve">FELIX Food Double</t>
  </si>
  <si>
    <t xml:space="preserve">0.5mm / 0.5mm nozzles</t>
  </si>
  <si>
    <t xml:space="preserve">fdm_felix_food_double</t>
  </si>
  <si>
    <t xml:space="preserve">0x0;30x0</t>
  </si>
  <si>
    <t xml:space="preserve">FELIX Food Double 0.5mm 0.5mm nozzles.json</t>
  </si>
  <si>
    <t xml:space="preserve">1.0mm / 1.0mm nozzles</t>
  </si>
  <si>
    <t xml:space="preserve">FELIX Food Double 1.0mm 1.0mm nozzles.json</t>
  </si>
  <si>
    <t xml:space="preserve">2.0mm / 2.0mm nozzles</t>
  </si>
  <si>
    <t xml:space="preserve">FELIX Food Double 2.0mm 2.0mm nozzles.json</t>
  </si>
  <si>
    <t xml:space="preserve">3.0mm / 3.0mm nozzles</t>
  </si>
  <si>
    <t xml:space="preserve">FELIX Food Double 3.0mm 3.0mm nozzles.json</t>
  </si>
  <si>
    <t xml:space="preserve">4.0mm / 4.0mm nozzles</t>
  </si>
  <si>
    <t xml:space="preserve">FELIX Food Double 4.0mm 4.0mm nozzles.json</t>
  </si>
  <si>
    <t xml:space="preserve">FELIX Food Switch</t>
  </si>
  <si>
    <t xml:space="preserve">fdm_felix_food_switch</t>
  </si>
  <si>
    <t xml:space="preserve">FELIX Food Switch 0.5mm 0.5mm nozzles.json</t>
  </si>
  <si>
    <t xml:space="preserve">FELIX Food Switch 1.0mm 1.0mm nozzles.json</t>
  </si>
  <si>
    <t xml:space="preserve">FELIX Food Switch 2.0mm 2.0mm nozzles.json</t>
  </si>
  <si>
    <t xml:space="preserve">FELIX Food Switch 3.0mm 3.0mm nozzles.json</t>
  </si>
  <si>
    <t xml:space="preserve">FELIX Food Switch 4.0mm 4.0mm nozzles.json</t>
  </si>
  <si>
    <t xml:space="preserve">SyringeMaterial</t>
  </si>
  <si>
    <t xml:space="preserve">Scale</t>
  </si>
  <si>
    <t xml:space="preserve">ScaleLabel</t>
  </si>
  <si>
    <t xml:space="preserve">Nozzle_mm</t>
  </si>
  <si>
    <t xml:space="preserve">LineWidth_mm</t>
  </si>
  <si>
    <t xml:space="preserve">Flow_pct</t>
  </si>
  <si>
    <t xml:space="preserve">LayerHeightMin_mm</t>
  </si>
  <si>
    <t xml:space="preserve">LayerHeightMax_mm</t>
  </si>
  <si>
    <t xml:space="preserve">RetractionDist_mm</t>
  </si>
  <si>
    <t xml:space="preserve">ExtraRestartDist_mm</t>
  </si>
  <si>
    <t xml:space="preserve">RetractionSpeed_mms</t>
  </si>
  <si>
    <t xml:space="preserve">ToolchangeRetraction_mm</t>
  </si>
  <si>
    <t xml:space="preserve">ToolchangeRestart_mm</t>
  </si>
  <si>
    <t xml:space="preserve">CoastingDist_mm</t>
  </si>
  <si>
    <t xml:space="preserve">WipeDist_mm</t>
  </si>
  <si>
    <t xml:space="preserve">PrintSpeed_mms_max</t>
  </si>
  <si>
    <t xml:space="preserve">PrintTemp_C</t>
  </si>
  <si>
    <t xml:space="preserve">BedTemp_C</t>
  </si>
  <si>
    <t xml:space="preserve">FanSpeed_pct</t>
  </si>
  <si>
    <t xml:space="preserve">Density_gcc</t>
  </si>
  <si>
    <t xml:space="preserve">Price_eur_g</t>
  </si>
  <si>
    <t xml:space="preserve">Plastic</t>
  </si>
  <si>
    <t xml:space="preserve">Medium (10000-30000 mps)</t>
  </si>
  <si>
    <t xml:space="preserve">Thin (3000-10000 mps)</t>
  </si>
  <si>
    <t xml:space="preserve">Very Thin (1000-3000 mps)</t>
  </si>
  <si>
    <t xml:space="preserve">Steel</t>
  </si>
  <si>
    <t xml:space="preserve">Very Thick (100000-300000 mps)</t>
  </si>
  <si>
    <t xml:space="preserve">Thick (30000-100000 mps)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</si>
</sst>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8" activeCellId="0" sqref="K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46"/>
    <col collapsed="false" customWidth="true" hidden="false" outlineLevel="0" max="11" min="11" style="0" width="55"/>
  </cols>
  <sheetData>
    <row r="1" customFormat="false" ht="26.8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4"/>
    </row>
    <row r="2" customFormat="false" ht="15" hidden="false" customHeight="false" outlineLevel="0" collapsed="false">
      <c r="A2" s="2" t="s">
        <v>43</v>
      </c>
      <c r="B2" s="2" t="s">
        <v>44</v>
      </c>
      <c r="C2" s="5" t="b">
        <f aca="false">FALSE()</f>
        <v>0</v>
      </c>
      <c r="D2" s="6" t="n">
        <v>0.25</v>
      </c>
      <c r="E2" s="6" t="n">
        <v>0.25</v>
      </c>
      <c r="F2" s="6" t="s">
        <v>45</v>
      </c>
      <c r="G2" s="2" t="s">
        <v>46</v>
      </c>
      <c r="H2" s="6"/>
      <c r="I2" s="2" t="s">
        <v>47</v>
      </c>
      <c r="J2" s="2" t="s">
        <v>48</v>
      </c>
      <c r="K2" s="2"/>
    </row>
    <row r="3" customFormat="false" ht="15" hidden="false" customHeight="false" outlineLevel="0" collapsed="false">
      <c r="A3" s="2" t="s">
        <v>43</v>
      </c>
      <c r="B3" s="2" t="s">
        <v>49</v>
      </c>
      <c r="C3" s="5" t="b">
        <f aca="false">FALSE()</f>
        <v>0</v>
      </c>
      <c r="D3" s="6" t="n">
        <v>0.35</v>
      </c>
      <c r="E3" s="6" t="n">
        <v>0.35</v>
      </c>
      <c r="F3" s="6" t="s">
        <v>45</v>
      </c>
      <c r="G3" s="2" t="s">
        <v>50</v>
      </c>
      <c r="H3" s="6"/>
      <c r="I3" s="2" t="s">
        <v>47</v>
      </c>
      <c r="J3" s="2" t="s">
        <v>51</v>
      </c>
      <c r="K3" s="2"/>
    </row>
    <row r="4" customFormat="false" ht="15" hidden="false" customHeight="false" outlineLevel="0" collapsed="false">
      <c r="A4" s="2" t="s">
        <v>43</v>
      </c>
      <c r="B4" s="2" t="s">
        <v>52</v>
      </c>
      <c r="C4" s="5" t="b">
        <f aca="false">FALSE()</f>
        <v>0</v>
      </c>
      <c r="D4" s="6" t="n">
        <v>0.5</v>
      </c>
      <c r="E4" s="6" t="n">
        <v>0.5</v>
      </c>
      <c r="F4" s="6" t="s">
        <v>45</v>
      </c>
      <c r="G4" s="2" t="s">
        <v>53</v>
      </c>
      <c r="H4" s="6"/>
      <c r="I4" s="2" t="s">
        <v>47</v>
      </c>
      <c r="J4" s="2" t="s">
        <v>54</v>
      </c>
      <c r="K4" s="2"/>
    </row>
    <row r="5" customFormat="false" ht="15" hidden="false" customHeight="false" outlineLevel="0" collapsed="false">
      <c r="A5" s="2" t="s">
        <v>43</v>
      </c>
      <c r="B5" s="2" t="s">
        <v>55</v>
      </c>
      <c r="C5" s="5" t="b">
        <f aca="false">FALSE()</f>
        <v>0</v>
      </c>
      <c r="D5" s="6" t="n">
        <v>0.7</v>
      </c>
      <c r="E5" s="6" t="n">
        <v>0.7</v>
      </c>
      <c r="F5" s="6" t="s">
        <v>45</v>
      </c>
      <c r="G5" s="2" t="s">
        <v>56</v>
      </c>
      <c r="H5" s="6"/>
      <c r="I5" s="2" t="s">
        <v>47</v>
      </c>
      <c r="J5" s="2" t="s">
        <v>57</v>
      </c>
      <c r="K5" s="2"/>
    </row>
    <row r="6" customFormat="false" ht="15" hidden="false" customHeight="false" outlineLevel="0" collapsed="false">
      <c r="A6" s="2" t="s">
        <v>58</v>
      </c>
      <c r="B6" s="2" t="s">
        <v>44</v>
      </c>
      <c r="C6" s="5" t="b">
        <f aca="false">FALSE()</f>
        <v>0</v>
      </c>
      <c r="D6" s="6" t="n">
        <v>0.25</v>
      </c>
      <c r="E6" s="6" t="n">
        <v>0.25</v>
      </c>
      <c r="F6" s="6" t="s">
        <v>59</v>
      </c>
      <c r="G6" s="2" t="s">
        <v>46</v>
      </c>
      <c r="H6" s="6"/>
      <c r="I6" s="2" t="s">
        <v>47</v>
      </c>
      <c r="J6" s="2" t="s">
        <v>60</v>
      </c>
      <c r="K6" s="2"/>
    </row>
    <row r="7" customFormat="false" ht="15" hidden="false" customHeight="false" outlineLevel="0" collapsed="false">
      <c r="A7" s="2" t="s">
        <v>58</v>
      </c>
      <c r="B7" s="2" t="s">
        <v>49</v>
      </c>
      <c r="C7" s="5" t="b">
        <f aca="false">FALSE()</f>
        <v>0</v>
      </c>
      <c r="D7" s="6" t="n">
        <v>0.35</v>
      </c>
      <c r="E7" s="6" t="n">
        <v>0.35</v>
      </c>
      <c r="F7" s="6" t="s">
        <v>59</v>
      </c>
      <c r="G7" s="2" t="s">
        <v>50</v>
      </c>
      <c r="H7" s="6"/>
      <c r="I7" s="2" t="s">
        <v>47</v>
      </c>
      <c r="J7" s="2" t="s">
        <v>61</v>
      </c>
      <c r="K7" s="2"/>
    </row>
    <row r="8" customFormat="false" ht="15" hidden="false" customHeight="false" outlineLevel="0" collapsed="false">
      <c r="A8" s="2" t="s">
        <v>58</v>
      </c>
      <c r="B8" s="2" t="s">
        <v>52</v>
      </c>
      <c r="C8" s="5" t="b">
        <f aca="false">FALSE()</f>
        <v>0</v>
      </c>
      <c r="D8" s="6" t="n">
        <v>0.5</v>
      </c>
      <c r="E8" s="6" t="n">
        <v>0.5</v>
      </c>
      <c r="F8" s="6" t="s">
        <v>59</v>
      </c>
      <c r="G8" s="2" t="s">
        <v>53</v>
      </c>
      <c r="H8" s="6"/>
      <c r="I8" s="2" t="s">
        <v>47</v>
      </c>
      <c r="J8" s="2" t="s">
        <v>62</v>
      </c>
      <c r="K8" s="2"/>
    </row>
    <row r="9" customFormat="false" ht="15" hidden="false" customHeight="false" outlineLevel="0" collapsed="false">
      <c r="A9" s="2" t="s">
        <v>58</v>
      </c>
      <c r="B9" s="2" t="s">
        <v>55</v>
      </c>
      <c r="C9" s="5" t="b">
        <f aca="false">FALSE()</f>
        <v>0</v>
      </c>
      <c r="D9" s="6" t="n">
        <v>0.7</v>
      </c>
      <c r="E9" s="6" t="n">
        <v>0.7</v>
      </c>
      <c r="F9" s="6" t="s">
        <v>59</v>
      </c>
      <c r="G9" s="2" t="s">
        <v>56</v>
      </c>
      <c r="H9" s="6"/>
      <c r="I9" s="2" t="s">
        <v>47</v>
      </c>
      <c r="J9" s="2" t="s">
        <v>63</v>
      </c>
      <c r="K9" s="2"/>
    </row>
    <row r="10" customFormat="false" ht="15" hidden="false" customHeight="false" outlineLevel="0" collapsed="false">
      <c r="A10" s="2" t="s">
        <v>64</v>
      </c>
      <c r="B10" s="2" t="s">
        <v>44</v>
      </c>
      <c r="C10" s="5" t="b">
        <f aca="false">FALSE()</f>
        <v>0</v>
      </c>
      <c r="D10" s="6" t="n">
        <v>0.25</v>
      </c>
      <c r="E10" s="6" t="n">
        <v>0.25</v>
      </c>
      <c r="F10" s="7" t="s">
        <v>65</v>
      </c>
      <c r="G10" s="2" t="s">
        <v>46</v>
      </c>
      <c r="H10" s="6"/>
      <c r="I10" s="2" t="s">
        <v>47</v>
      </c>
      <c r="J10" s="2" t="s">
        <v>66</v>
      </c>
      <c r="K10" s="2"/>
    </row>
    <row r="11" customFormat="false" ht="15" hidden="false" customHeight="false" outlineLevel="0" collapsed="false">
      <c r="A11" s="2" t="s">
        <v>64</v>
      </c>
      <c r="B11" s="2" t="s">
        <v>49</v>
      </c>
      <c r="C11" s="5" t="b">
        <f aca="false">FALSE()</f>
        <v>0</v>
      </c>
      <c r="D11" s="6" t="n">
        <v>0.35</v>
      </c>
      <c r="E11" s="6" t="n">
        <v>0.35</v>
      </c>
      <c r="F11" s="7" t="s">
        <v>65</v>
      </c>
      <c r="G11" s="2" t="s">
        <v>50</v>
      </c>
      <c r="H11" s="6"/>
      <c r="I11" s="2" t="s">
        <v>47</v>
      </c>
      <c r="J11" s="2" t="s">
        <v>67</v>
      </c>
      <c r="K11" s="2"/>
    </row>
    <row r="12" customFormat="false" ht="15" hidden="false" customHeight="false" outlineLevel="0" collapsed="false">
      <c r="A12" s="2" t="s">
        <v>64</v>
      </c>
      <c r="B12" s="2" t="s">
        <v>52</v>
      </c>
      <c r="C12" s="5" t="b">
        <f aca="false">FALSE()</f>
        <v>0</v>
      </c>
      <c r="D12" s="6" t="n">
        <v>0.5</v>
      </c>
      <c r="E12" s="6" t="n">
        <v>0.5</v>
      </c>
      <c r="F12" s="7" t="s">
        <v>65</v>
      </c>
      <c r="G12" s="2" t="s">
        <v>53</v>
      </c>
      <c r="H12" s="6"/>
      <c r="I12" s="2" t="s">
        <v>47</v>
      </c>
      <c r="J12" s="2" t="s">
        <v>68</v>
      </c>
      <c r="K12" s="2"/>
    </row>
    <row r="13" customFormat="false" ht="15" hidden="false" customHeight="false" outlineLevel="0" collapsed="false">
      <c r="A13" s="2" t="s">
        <v>64</v>
      </c>
      <c r="B13" s="2" t="s">
        <v>55</v>
      </c>
      <c r="C13" s="5" t="b">
        <f aca="false">FALSE()</f>
        <v>0</v>
      </c>
      <c r="D13" s="6" t="n">
        <v>0.7</v>
      </c>
      <c r="E13" s="6" t="n">
        <v>0.7</v>
      </c>
      <c r="F13" s="7" t="s">
        <v>65</v>
      </c>
      <c r="G13" s="2" t="s">
        <v>56</v>
      </c>
      <c r="H13" s="6"/>
      <c r="I13" s="2" t="s">
        <v>47</v>
      </c>
      <c r="J13" s="2" t="s">
        <v>69</v>
      </c>
      <c r="K13" s="2"/>
    </row>
    <row r="14" customFormat="false" ht="15" hidden="false" customHeight="false" outlineLevel="0" collapsed="false">
      <c r="A14" s="2" t="s">
        <v>70</v>
      </c>
      <c r="B14" s="2" t="s">
        <v>44</v>
      </c>
      <c r="C14" s="5" t="b">
        <f aca="false">FALSE()</f>
        <v>0</v>
      </c>
      <c r="D14" s="6" t="n">
        <v>0.25</v>
      </c>
      <c r="E14" s="6" t="n">
        <v>0.25</v>
      </c>
      <c r="F14" s="6" t="s">
        <v>71</v>
      </c>
      <c r="G14" s="2" t="s">
        <v>46</v>
      </c>
      <c r="H14" s="6"/>
      <c r="I14" s="2" t="s">
        <v>47</v>
      </c>
      <c r="J14" s="2" t="s">
        <v>72</v>
      </c>
      <c r="K14" s="2"/>
    </row>
    <row r="15" customFormat="false" ht="15" hidden="false" customHeight="false" outlineLevel="0" collapsed="false">
      <c r="A15" s="2" t="s">
        <v>70</v>
      </c>
      <c r="B15" s="2" t="s">
        <v>49</v>
      </c>
      <c r="C15" s="5" t="b">
        <f aca="false">FALSE()</f>
        <v>0</v>
      </c>
      <c r="D15" s="6" t="n">
        <v>0.35</v>
      </c>
      <c r="E15" s="6" t="n">
        <v>0.35</v>
      </c>
      <c r="F15" s="6" t="s">
        <v>71</v>
      </c>
      <c r="G15" s="2" t="s">
        <v>50</v>
      </c>
      <c r="H15" s="6"/>
      <c r="I15" s="2" t="s">
        <v>47</v>
      </c>
      <c r="J15" s="2" t="s">
        <v>73</v>
      </c>
      <c r="K15" s="2"/>
    </row>
    <row r="16" customFormat="false" ht="15" hidden="false" customHeight="false" outlineLevel="0" collapsed="false">
      <c r="A16" s="2" t="s">
        <v>70</v>
      </c>
      <c r="B16" s="2" t="s">
        <v>52</v>
      </c>
      <c r="C16" s="5" t="b">
        <f aca="false">FALSE()</f>
        <v>0</v>
      </c>
      <c r="D16" s="6" t="n">
        <v>0.5</v>
      </c>
      <c r="E16" s="6" t="n">
        <v>0.5</v>
      </c>
      <c r="F16" s="6" t="s">
        <v>71</v>
      </c>
      <c r="G16" s="2" t="s">
        <v>53</v>
      </c>
      <c r="H16" s="6"/>
      <c r="I16" s="2" t="s">
        <v>47</v>
      </c>
      <c r="J16" s="2" t="s">
        <v>74</v>
      </c>
      <c r="K16" s="2"/>
    </row>
    <row r="17" customFormat="false" ht="15" hidden="false" customHeight="false" outlineLevel="0" collapsed="false">
      <c r="A17" s="2" t="s">
        <v>70</v>
      </c>
      <c r="B17" s="2" t="s">
        <v>55</v>
      </c>
      <c r="C17" s="5" t="b">
        <f aca="false">FALSE()</f>
        <v>0</v>
      </c>
      <c r="D17" s="6" t="n">
        <v>0.7</v>
      </c>
      <c r="E17" s="6" t="n">
        <v>0.7</v>
      </c>
      <c r="F17" s="6" t="s">
        <v>71</v>
      </c>
      <c r="G17" s="2" t="s">
        <v>56</v>
      </c>
      <c r="H17" s="6"/>
      <c r="I17" s="2" t="s">
        <v>47</v>
      </c>
      <c r="J17" s="2" t="s">
        <v>75</v>
      </c>
      <c r="K17" s="2"/>
    </row>
    <row r="18" customFormat="false" ht="15" hidden="false" customHeight="false" outlineLevel="0" collapsed="false">
      <c r="A18" s="2" t="s">
        <v>76</v>
      </c>
      <c r="B18" s="2" t="s">
        <v>77</v>
      </c>
      <c r="C18" s="5" t="b">
        <f aca="false">FALSE()</f>
        <v>0</v>
      </c>
      <c r="D18" s="6" t="n">
        <v>0.5</v>
      </c>
      <c r="E18" s="6" t="n">
        <v>0.5</v>
      </c>
      <c r="F18" s="6" t="s">
        <v>78</v>
      </c>
      <c r="G18" s="2" t="s">
        <v>79</v>
      </c>
      <c r="H18" s="6"/>
      <c r="I18" s="2" t="s">
        <v>47</v>
      </c>
      <c r="J18" s="2" t="s">
        <v>80</v>
      </c>
      <c r="K18" s="2"/>
    </row>
    <row r="19" customFormat="false" ht="15" hidden="false" customHeight="false" outlineLevel="0" collapsed="false">
      <c r="A19" s="2" t="s">
        <v>76</v>
      </c>
      <c r="B19" s="2" t="s">
        <v>81</v>
      </c>
      <c r="C19" s="5" t="b">
        <f aca="false">FALSE()</f>
        <v>0</v>
      </c>
      <c r="D19" s="6" t="n">
        <v>1</v>
      </c>
      <c r="E19" s="6" t="n">
        <v>1</v>
      </c>
      <c r="F19" s="6" t="s">
        <v>78</v>
      </c>
      <c r="G19" s="2" t="s">
        <v>82</v>
      </c>
      <c r="H19" s="6"/>
      <c r="I19" s="2" t="s">
        <v>47</v>
      </c>
      <c r="J19" s="2" t="s">
        <v>83</v>
      </c>
      <c r="K19" s="2"/>
    </row>
    <row r="20" customFormat="false" ht="15" hidden="false" customHeight="false" outlineLevel="0" collapsed="false">
      <c r="A20" s="2" t="s">
        <v>76</v>
      </c>
      <c r="B20" s="2" t="s">
        <v>84</v>
      </c>
      <c r="C20" s="5" t="b">
        <f aca="false">FALSE()</f>
        <v>0</v>
      </c>
      <c r="D20" s="6" t="n">
        <v>2</v>
      </c>
      <c r="E20" s="6" t="n">
        <v>2</v>
      </c>
      <c r="F20" s="6" t="s">
        <v>78</v>
      </c>
      <c r="G20" s="2" t="s">
        <v>85</v>
      </c>
      <c r="H20" s="6"/>
      <c r="I20" s="2" t="s">
        <v>47</v>
      </c>
      <c r="J20" s="2" t="s">
        <v>86</v>
      </c>
      <c r="K20" s="2"/>
    </row>
    <row r="21" customFormat="false" ht="15" hidden="false" customHeight="false" outlineLevel="0" collapsed="false">
      <c r="A21" s="2" t="s">
        <v>76</v>
      </c>
      <c r="B21" s="2" t="s">
        <v>87</v>
      </c>
      <c r="C21" s="5" t="b">
        <f aca="false">FALSE()</f>
        <v>0</v>
      </c>
      <c r="D21" s="6" t="n">
        <v>3</v>
      </c>
      <c r="E21" s="6" t="n">
        <v>3</v>
      </c>
      <c r="F21" s="6" t="s">
        <v>78</v>
      </c>
      <c r="G21" s="2" t="s">
        <v>88</v>
      </c>
      <c r="H21" s="6"/>
      <c r="I21" s="2" t="s">
        <v>47</v>
      </c>
      <c r="J21" s="2" t="s">
        <v>89</v>
      </c>
      <c r="K21" s="2"/>
    </row>
    <row r="22" customFormat="false" ht="15" hidden="false" customHeight="false" outlineLevel="0" collapsed="false">
      <c r="A22" s="2" t="s">
        <v>76</v>
      </c>
      <c r="B22" s="2" t="s">
        <v>90</v>
      </c>
      <c r="C22" s="5" t="b">
        <f aca="false">FALSE()</f>
        <v>0</v>
      </c>
      <c r="D22" s="6" t="n">
        <v>4</v>
      </c>
      <c r="E22" s="6" t="n">
        <v>4</v>
      </c>
      <c r="F22" s="6" t="s">
        <v>78</v>
      </c>
      <c r="G22" s="2" t="s">
        <v>91</v>
      </c>
      <c r="H22" s="6"/>
      <c r="I22" s="2" t="s">
        <v>47</v>
      </c>
      <c r="J22" s="2" t="s">
        <v>92</v>
      </c>
      <c r="K22" s="2"/>
    </row>
    <row r="23" customFormat="false" ht="15" hidden="false" customHeight="false" outlineLevel="0" collapsed="false">
      <c r="A23" s="2" t="s">
        <v>93</v>
      </c>
      <c r="B23" s="2" t="s">
        <v>94</v>
      </c>
      <c r="C23" s="5" t="b">
        <f aca="false">TRUE()</f>
        <v>1</v>
      </c>
      <c r="D23" s="6" t="n">
        <v>0.5</v>
      </c>
      <c r="E23" s="6" t="n">
        <v>0.5</v>
      </c>
      <c r="F23" s="6" t="s">
        <v>95</v>
      </c>
      <c r="G23" s="2" t="s">
        <v>79</v>
      </c>
      <c r="H23" s="6" t="s">
        <v>96</v>
      </c>
      <c r="I23" s="2" t="s">
        <v>47</v>
      </c>
      <c r="J23" s="2" t="s">
        <v>97</v>
      </c>
      <c r="K23" s="2"/>
    </row>
    <row r="24" customFormat="false" ht="15" hidden="false" customHeight="false" outlineLevel="0" collapsed="false">
      <c r="A24" s="2" t="s">
        <v>93</v>
      </c>
      <c r="B24" s="2" t="s">
        <v>98</v>
      </c>
      <c r="C24" s="5" t="b">
        <f aca="false">TRUE()</f>
        <v>1</v>
      </c>
      <c r="D24" s="6" t="n">
        <v>1</v>
      </c>
      <c r="E24" s="6" t="n">
        <v>1</v>
      </c>
      <c r="F24" s="6" t="s">
        <v>95</v>
      </c>
      <c r="G24" s="2" t="s">
        <v>82</v>
      </c>
      <c r="H24" s="6" t="s">
        <v>96</v>
      </c>
      <c r="I24" s="2" t="s">
        <v>47</v>
      </c>
      <c r="J24" s="2" t="s">
        <v>99</v>
      </c>
      <c r="K24" s="2"/>
    </row>
    <row r="25" customFormat="false" ht="15" hidden="false" customHeight="false" outlineLevel="0" collapsed="false">
      <c r="A25" s="2" t="s">
        <v>93</v>
      </c>
      <c r="B25" s="2" t="s">
        <v>100</v>
      </c>
      <c r="C25" s="5" t="b">
        <f aca="false">TRUE()</f>
        <v>1</v>
      </c>
      <c r="D25" s="6" t="n">
        <v>2</v>
      </c>
      <c r="E25" s="6" t="n">
        <v>2</v>
      </c>
      <c r="F25" s="6" t="s">
        <v>95</v>
      </c>
      <c r="G25" s="2" t="s">
        <v>85</v>
      </c>
      <c r="H25" s="6" t="s">
        <v>96</v>
      </c>
      <c r="I25" s="2" t="s">
        <v>47</v>
      </c>
      <c r="J25" s="2" t="s">
        <v>101</v>
      </c>
      <c r="K25" s="2"/>
    </row>
    <row r="26" customFormat="false" ht="15" hidden="false" customHeight="false" outlineLevel="0" collapsed="false">
      <c r="A26" s="2" t="s">
        <v>93</v>
      </c>
      <c r="B26" s="2" t="s">
        <v>102</v>
      </c>
      <c r="C26" s="5" t="b">
        <f aca="false">TRUE()</f>
        <v>1</v>
      </c>
      <c r="D26" s="6" t="n">
        <v>3</v>
      </c>
      <c r="E26" s="6" t="n">
        <v>3</v>
      </c>
      <c r="F26" s="6" t="s">
        <v>95</v>
      </c>
      <c r="G26" s="2" t="s">
        <v>88</v>
      </c>
      <c r="H26" s="6" t="s">
        <v>96</v>
      </c>
      <c r="I26" s="2" t="s">
        <v>47</v>
      </c>
      <c r="J26" s="2" t="s">
        <v>103</v>
      </c>
      <c r="K26" s="2"/>
    </row>
    <row r="27" customFormat="false" ht="15" hidden="false" customHeight="false" outlineLevel="0" collapsed="false">
      <c r="A27" s="2" t="s">
        <v>93</v>
      </c>
      <c r="B27" s="2" t="s">
        <v>104</v>
      </c>
      <c r="C27" s="5" t="b">
        <f aca="false">TRUE()</f>
        <v>1</v>
      </c>
      <c r="D27" s="6" t="n">
        <v>4</v>
      </c>
      <c r="E27" s="6" t="n">
        <v>4</v>
      </c>
      <c r="F27" s="6" t="s">
        <v>95</v>
      </c>
      <c r="G27" s="2" t="s">
        <v>91</v>
      </c>
      <c r="H27" s="6" t="s">
        <v>96</v>
      </c>
      <c r="I27" s="2" t="s">
        <v>47</v>
      </c>
      <c r="J27" s="2" t="s">
        <v>105</v>
      </c>
      <c r="K27" s="2"/>
    </row>
    <row r="28" customFormat="false" ht="15" hidden="false" customHeight="false" outlineLevel="0" collapsed="false">
      <c r="A28" s="2" t="s">
        <v>106</v>
      </c>
      <c r="B28" s="2" t="s">
        <v>94</v>
      </c>
      <c r="C28" s="5" t="b">
        <f aca="false">TRUE()</f>
        <v>1</v>
      </c>
      <c r="D28" s="6" t="n">
        <v>0.5</v>
      </c>
      <c r="E28" s="6" t="n">
        <v>0.5</v>
      </c>
      <c r="F28" s="6" t="s">
        <v>107</v>
      </c>
      <c r="G28" s="2" t="s">
        <v>79</v>
      </c>
      <c r="H28" s="6" t="s">
        <v>96</v>
      </c>
      <c r="I28" s="2" t="s">
        <v>47</v>
      </c>
      <c r="J28" s="2" t="s">
        <v>108</v>
      </c>
      <c r="K28" s="2"/>
    </row>
    <row r="29" customFormat="false" ht="15" hidden="false" customHeight="false" outlineLevel="0" collapsed="false">
      <c r="A29" s="2" t="s">
        <v>106</v>
      </c>
      <c r="B29" s="2" t="s">
        <v>98</v>
      </c>
      <c r="C29" s="5" t="b">
        <f aca="false">TRUE()</f>
        <v>1</v>
      </c>
      <c r="D29" s="6" t="n">
        <v>1</v>
      </c>
      <c r="E29" s="6" t="n">
        <v>1</v>
      </c>
      <c r="F29" s="6" t="s">
        <v>107</v>
      </c>
      <c r="G29" s="2" t="s">
        <v>82</v>
      </c>
      <c r="H29" s="6" t="s">
        <v>96</v>
      </c>
      <c r="I29" s="2" t="s">
        <v>47</v>
      </c>
      <c r="J29" s="2" t="s">
        <v>109</v>
      </c>
      <c r="K29" s="2"/>
    </row>
    <row r="30" customFormat="false" ht="15" hidden="false" customHeight="false" outlineLevel="0" collapsed="false">
      <c r="A30" s="2" t="s">
        <v>106</v>
      </c>
      <c r="B30" s="2" t="s">
        <v>100</v>
      </c>
      <c r="C30" s="5" t="b">
        <f aca="false">TRUE()</f>
        <v>1</v>
      </c>
      <c r="D30" s="6" t="n">
        <v>2</v>
      </c>
      <c r="E30" s="6" t="n">
        <v>2</v>
      </c>
      <c r="F30" s="6" t="s">
        <v>107</v>
      </c>
      <c r="G30" s="2" t="s">
        <v>85</v>
      </c>
      <c r="H30" s="6" t="s">
        <v>96</v>
      </c>
      <c r="I30" s="2" t="s">
        <v>47</v>
      </c>
      <c r="J30" s="2" t="s">
        <v>110</v>
      </c>
      <c r="K30" s="2"/>
    </row>
    <row r="31" customFormat="false" ht="15" hidden="false" customHeight="false" outlineLevel="0" collapsed="false">
      <c r="A31" s="2" t="s">
        <v>106</v>
      </c>
      <c r="B31" s="2" t="s">
        <v>102</v>
      </c>
      <c r="C31" s="5" t="b">
        <f aca="false">TRUE()</f>
        <v>1</v>
      </c>
      <c r="D31" s="6" t="n">
        <v>3</v>
      </c>
      <c r="E31" s="6" t="n">
        <v>3</v>
      </c>
      <c r="F31" s="6" t="s">
        <v>107</v>
      </c>
      <c r="G31" s="2" t="s">
        <v>88</v>
      </c>
      <c r="H31" s="6" t="s">
        <v>96</v>
      </c>
      <c r="I31" s="2" t="s">
        <v>47</v>
      </c>
      <c r="J31" s="2" t="s">
        <v>111</v>
      </c>
      <c r="K31" s="2"/>
    </row>
    <row r="32" customFormat="false" ht="15" hidden="false" customHeight="false" outlineLevel="0" collapsed="false">
      <c r="A32" s="2" t="s">
        <v>106</v>
      </c>
      <c r="B32" s="2" t="s">
        <v>104</v>
      </c>
      <c r="C32" s="5" t="b">
        <f aca="false">TRUE()</f>
        <v>1</v>
      </c>
      <c r="D32" s="6" t="n">
        <v>4</v>
      </c>
      <c r="E32" s="6" t="n">
        <v>4</v>
      </c>
      <c r="F32" s="6" t="s">
        <v>107</v>
      </c>
      <c r="G32" s="2" t="s">
        <v>91</v>
      </c>
      <c r="H32" s="8" t="s">
        <v>96</v>
      </c>
      <c r="I32" s="2" t="s">
        <v>47</v>
      </c>
      <c r="J32" s="2" t="s">
        <v>112</v>
      </c>
      <c r="K32" s="2"/>
    </row>
    <row r="33" customFormat="false" ht="15" hidden="false" customHeight="false" outlineLevel="0" collapsed="false">
      <c r="K33" s="2"/>
    </row>
    <row r="34" customFormat="false" ht="15" hidden="false" customHeight="false" outlineLevel="0" collapsed="false">
      <c r="K34" s="2"/>
    </row>
    <row r="35" customFormat="false" ht="15" hidden="false" customHeight="false" outlineLevel="0" collapsed="false">
      <c r="K35" s="2"/>
    </row>
    <row r="36" customFormat="false" ht="15" hidden="false" customHeight="false" outlineLevel="0" collapsed="false">
      <c r="K36" s="2"/>
    </row>
    <row r="37" customFormat="false" ht="15" hidden="false" customHeight="false" outlineLevel="0" collapsed="false">
      <c r="K37" s="2"/>
    </row>
    <row r="38" customFormat="false" ht="15" hidden="false" customHeight="false" outlineLevel="0" collapsed="false">
      <c r="K38" s="2"/>
    </row>
    <row r="39" customFormat="false" ht="15" hidden="false" customHeight="false" outlineLevel="0" collapsed="false">
      <c r="K39" s="2"/>
    </row>
    <row r="40" customFormat="false" ht="15" hidden="false" customHeight="false" outlineLevel="0" collapsed="false">
      <c r="K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21" min="4" style="0" width="13"/>
  </cols>
  <sheetData>
    <row r="1" customFormat="false" ht="39.55" hidden="false" customHeight="false" outlineLevel="0" collapsed="false">
      <c r="A1" s="9" t="s">
        <v>113</v>
      </c>
      <c r="B1" s="9" t="s">
        <v>114</v>
      </c>
      <c r="C1" s="9" t="s">
        <v>115</v>
      </c>
      <c r="D1" s="9" t="s">
        <v>116</v>
      </c>
      <c r="E1" s="9" t="s">
        <v>117</v>
      </c>
      <c r="F1" s="9" t="s">
        <v>118</v>
      </c>
      <c r="G1" s="9" t="s">
        <v>119</v>
      </c>
      <c r="H1" s="9" t="s">
        <v>120</v>
      </c>
      <c r="I1" s="9" t="s">
        <v>121</v>
      </c>
      <c r="J1" s="9" t="s">
        <v>122</v>
      </c>
      <c r="K1" s="9" t="s">
        <v>123</v>
      </c>
      <c r="L1" s="9" t="s">
        <v>124</v>
      </c>
      <c r="M1" s="9" t="s">
        <v>125</v>
      </c>
      <c r="N1" s="9" t="s">
        <v>126</v>
      </c>
      <c r="O1" s="9" t="s">
        <v>127</v>
      </c>
      <c r="P1" s="9" t="s">
        <v>128</v>
      </c>
      <c r="Q1" s="9" t="s">
        <v>129</v>
      </c>
      <c r="R1" s="9" t="s">
        <v>130</v>
      </c>
      <c r="S1" s="9" t="s">
        <v>131</v>
      </c>
      <c r="T1" s="9" t="s">
        <v>132</v>
      </c>
      <c r="U1" s="9" t="s">
        <v>133</v>
      </c>
    </row>
    <row r="2" customFormat="false" ht="15" hidden="false" customHeight="false" outlineLevel="0" collapsed="false">
      <c r="A2" s="2" t="s">
        <v>134</v>
      </c>
      <c r="B2" s="2" t="n">
        <v>3</v>
      </c>
      <c r="C2" s="2" t="s">
        <v>135</v>
      </c>
      <c r="D2" s="2" t="n">
        <v>0.5</v>
      </c>
      <c r="E2" s="2" t="n">
        <v>0.6</v>
      </c>
      <c r="F2" s="2" t="n">
        <v>105</v>
      </c>
      <c r="G2" s="2" t="n">
        <v>0.25</v>
      </c>
      <c r="H2" s="2" t="n">
        <v>0.4</v>
      </c>
      <c r="I2" s="2" t="n">
        <v>3</v>
      </c>
      <c r="J2" s="2" t="n">
        <v>0</v>
      </c>
      <c r="K2" s="2" t="n">
        <v>5</v>
      </c>
      <c r="L2" s="2" t="n">
        <v>6</v>
      </c>
      <c r="M2" s="2" t="n">
        <v>0</v>
      </c>
      <c r="N2" s="2" t="n">
        <v>1</v>
      </c>
      <c r="O2" s="2" t="n">
        <v>0.75</v>
      </c>
      <c r="P2" s="2" t="n">
        <v>30</v>
      </c>
      <c r="Q2" s="8"/>
      <c r="R2" s="8"/>
      <c r="S2" s="8"/>
      <c r="T2" s="8"/>
      <c r="U2" s="8"/>
    </row>
    <row r="3" customFormat="false" ht="15" hidden="false" customHeight="false" outlineLevel="0" collapsed="false">
      <c r="A3" s="2" t="s">
        <v>134</v>
      </c>
      <c r="B3" s="2" t="n">
        <v>3</v>
      </c>
      <c r="C3" s="2" t="s">
        <v>135</v>
      </c>
      <c r="D3" s="2" t="n">
        <v>1</v>
      </c>
      <c r="E3" s="2" t="n">
        <v>1.2</v>
      </c>
      <c r="F3" s="2" t="n">
        <v>105</v>
      </c>
      <c r="G3" s="2" t="n">
        <v>0.5</v>
      </c>
      <c r="H3" s="2" t="n">
        <v>0.75</v>
      </c>
      <c r="I3" s="2" t="n">
        <v>3</v>
      </c>
      <c r="J3" s="2" t="n">
        <v>0</v>
      </c>
      <c r="K3" s="2" t="n">
        <v>5</v>
      </c>
      <c r="L3" s="2" t="n">
        <v>6</v>
      </c>
      <c r="M3" s="2" t="n">
        <v>0</v>
      </c>
      <c r="N3" s="2" t="n">
        <v>2</v>
      </c>
      <c r="O3" s="2" t="n">
        <v>1.5</v>
      </c>
      <c r="P3" s="2" t="n">
        <v>30</v>
      </c>
      <c r="Q3" s="8"/>
      <c r="R3" s="8"/>
      <c r="S3" s="8"/>
      <c r="T3" s="8"/>
      <c r="U3" s="8"/>
    </row>
    <row r="4" customFormat="false" ht="15" hidden="false" customHeight="false" outlineLevel="0" collapsed="false">
      <c r="A4" s="2" t="s">
        <v>134</v>
      </c>
      <c r="B4" s="2" t="n">
        <v>3</v>
      </c>
      <c r="C4" s="2" t="s">
        <v>135</v>
      </c>
      <c r="D4" s="2" t="n">
        <v>2</v>
      </c>
      <c r="E4" s="2" t="n">
        <v>2.4</v>
      </c>
      <c r="F4" s="2" t="n">
        <v>105</v>
      </c>
      <c r="G4" s="2" t="n">
        <v>1</v>
      </c>
      <c r="H4" s="2" t="n">
        <v>1.5</v>
      </c>
      <c r="I4" s="2" t="n">
        <v>3</v>
      </c>
      <c r="J4" s="2" t="n">
        <v>0</v>
      </c>
      <c r="K4" s="2" t="n">
        <v>5</v>
      </c>
      <c r="L4" s="2" t="n">
        <v>6</v>
      </c>
      <c r="M4" s="2" t="n">
        <v>0</v>
      </c>
      <c r="N4" s="2" t="n">
        <v>4</v>
      </c>
      <c r="O4" s="2" t="n">
        <v>3</v>
      </c>
      <c r="P4" s="2" t="n">
        <v>30</v>
      </c>
      <c r="Q4" s="8"/>
      <c r="R4" s="8"/>
      <c r="S4" s="8"/>
      <c r="T4" s="8"/>
      <c r="U4" s="8"/>
    </row>
    <row r="5" customFormat="false" ht="15" hidden="false" customHeight="false" outlineLevel="0" collapsed="false">
      <c r="A5" s="2" t="s">
        <v>134</v>
      </c>
      <c r="B5" s="2" t="n">
        <v>3</v>
      </c>
      <c r="C5" s="2" t="s">
        <v>135</v>
      </c>
      <c r="D5" s="2" t="n">
        <v>3</v>
      </c>
      <c r="E5" s="2" t="n">
        <v>3.6</v>
      </c>
      <c r="F5" s="2" t="n">
        <v>105</v>
      </c>
      <c r="G5" s="2" t="n">
        <v>1.5</v>
      </c>
      <c r="H5" s="2" t="n">
        <v>2</v>
      </c>
      <c r="I5" s="2" t="n">
        <v>3</v>
      </c>
      <c r="J5" s="2" t="n">
        <v>0</v>
      </c>
      <c r="K5" s="2" t="n">
        <v>5</v>
      </c>
      <c r="L5" s="2" t="n">
        <v>6</v>
      </c>
      <c r="M5" s="2" t="n">
        <v>0</v>
      </c>
      <c r="N5" s="2" t="n">
        <v>3</v>
      </c>
      <c r="O5" s="2" t="n">
        <v>4.5</v>
      </c>
      <c r="P5" s="2" t="n">
        <v>30</v>
      </c>
      <c r="Q5" s="8"/>
      <c r="R5" s="8"/>
      <c r="S5" s="8"/>
      <c r="T5" s="8"/>
      <c r="U5" s="8"/>
    </row>
    <row r="6" customFormat="false" ht="15" hidden="false" customHeight="false" outlineLevel="0" collapsed="false">
      <c r="A6" s="2" t="s">
        <v>134</v>
      </c>
      <c r="B6" s="2" t="n">
        <v>3</v>
      </c>
      <c r="C6" s="2" t="s">
        <v>135</v>
      </c>
      <c r="D6" s="2" t="n">
        <v>4</v>
      </c>
      <c r="E6" s="2" t="n">
        <v>4.8</v>
      </c>
      <c r="F6" s="2" t="n">
        <v>105</v>
      </c>
      <c r="G6" s="2" t="n">
        <v>2</v>
      </c>
      <c r="H6" s="2" t="n">
        <v>3</v>
      </c>
      <c r="I6" s="2" t="n">
        <v>3</v>
      </c>
      <c r="J6" s="2" t="n">
        <v>0</v>
      </c>
      <c r="K6" s="2" t="n">
        <v>5</v>
      </c>
      <c r="L6" s="2" t="n">
        <v>6</v>
      </c>
      <c r="M6" s="2" t="n">
        <v>0</v>
      </c>
      <c r="N6" s="2" t="n">
        <v>6</v>
      </c>
      <c r="O6" s="2" t="n">
        <v>6</v>
      </c>
      <c r="P6" s="2" t="n">
        <v>30</v>
      </c>
      <c r="Q6" s="8"/>
      <c r="R6" s="8"/>
      <c r="S6" s="8"/>
      <c r="T6" s="8"/>
      <c r="U6" s="8"/>
    </row>
    <row r="7" customFormat="false" ht="15" hidden="false" customHeight="false" outlineLevel="0" collapsed="false">
      <c r="A7" s="2" t="s">
        <v>134</v>
      </c>
      <c r="B7" s="2" t="n">
        <v>2</v>
      </c>
      <c r="C7" s="2" t="s">
        <v>136</v>
      </c>
      <c r="D7" s="2" t="n">
        <v>0.5</v>
      </c>
      <c r="E7" s="2" t="n">
        <v>0.6</v>
      </c>
      <c r="F7" s="2" t="n">
        <v>110</v>
      </c>
      <c r="G7" s="2" t="n">
        <v>0.25</v>
      </c>
      <c r="H7" s="2" t="n">
        <v>0.4</v>
      </c>
      <c r="I7" s="2" t="n">
        <v>0.75</v>
      </c>
      <c r="J7" s="2" t="n">
        <v>0</v>
      </c>
      <c r="K7" s="2" t="n">
        <v>5</v>
      </c>
      <c r="L7" s="2" t="n">
        <v>1.5</v>
      </c>
      <c r="M7" s="2" t="n">
        <v>0</v>
      </c>
      <c r="N7" s="2" t="n">
        <v>1</v>
      </c>
      <c r="O7" s="2" t="n">
        <v>0.75</v>
      </c>
      <c r="P7" s="2" t="n">
        <v>45</v>
      </c>
      <c r="Q7" s="8"/>
      <c r="R7" s="8"/>
      <c r="S7" s="8"/>
      <c r="T7" s="8"/>
      <c r="U7" s="8"/>
    </row>
    <row r="8" customFormat="false" ht="15" hidden="false" customHeight="false" outlineLevel="0" collapsed="false">
      <c r="A8" s="2" t="s">
        <v>134</v>
      </c>
      <c r="B8" s="2" t="n">
        <v>2</v>
      </c>
      <c r="C8" s="2" t="s">
        <v>136</v>
      </c>
      <c r="D8" s="2" t="n">
        <v>1</v>
      </c>
      <c r="E8" s="2" t="n">
        <v>1.2</v>
      </c>
      <c r="F8" s="2" t="n">
        <v>110</v>
      </c>
      <c r="G8" s="2" t="n">
        <v>0.5</v>
      </c>
      <c r="H8" s="2" t="n">
        <v>0.75</v>
      </c>
      <c r="I8" s="2" t="n">
        <v>0.75</v>
      </c>
      <c r="J8" s="2" t="n">
        <v>0</v>
      </c>
      <c r="K8" s="2" t="n">
        <v>5</v>
      </c>
      <c r="L8" s="2" t="n">
        <v>1.5</v>
      </c>
      <c r="M8" s="2" t="n">
        <v>0</v>
      </c>
      <c r="N8" s="2" t="n">
        <v>2</v>
      </c>
      <c r="O8" s="2" t="n">
        <v>1.5</v>
      </c>
      <c r="P8" s="2" t="n">
        <v>45</v>
      </c>
      <c r="Q8" s="8"/>
      <c r="R8" s="8"/>
      <c r="S8" s="8"/>
      <c r="T8" s="8"/>
      <c r="U8" s="8"/>
    </row>
    <row r="9" customFormat="false" ht="15" hidden="false" customHeight="false" outlineLevel="0" collapsed="false">
      <c r="A9" s="2" t="s">
        <v>134</v>
      </c>
      <c r="B9" s="2" t="n">
        <v>2</v>
      </c>
      <c r="C9" s="2" t="s">
        <v>136</v>
      </c>
      <c r="D9" s="2" t="n">
        <v>2</v>
      </c>
      <c r="E9" s="2" t="n">
        <v>2.4</v>
      </c>
      <c r="F9" s="2" t="n">
        <v>110</v>
      </c>
      <c r="G9" s="2" t="n">
        <v>1</v>
      </c>
      <c r="H9" s="2" t="n">
        <v>1.5</v>
      </c>
      <c r="I9" s="2" t="n">
        <v>0.75</v>
      </c>
      <c r="J9" s="2" t="n">
        <v>0</v>
      </c>
      <c r="K9" s="2" t="n">
        <v>5</v>
      </c>
      <c r="L9" s="2" t="n">
        <v>1.5</v>
      </c>
      <c r="M9" s="2" t="n">
        <v>0</v>
      </c>
      <c r="N9" s="2" t="n">
        <v>4</v>
      </c>
      <c r="O9" s="2" t="n">
        <v>3</v>
      </c>
      <c r="P9" s="2" t="n">
        <v>45</v>
      </c>
      <c r="Q9" s="8"/>
      <c r="R9" s="8"/>
      <c r="S9" s="8"/>
      <c r="T9" s="8"/>
      <c r="U9" s="8"/>
    </row>
    <row r="10" customFormat="false" ht="15" hidden="false" customHeight="false" outlineLevel="0" collapsed="false">
      <c r="A10" s="2" t="s">
        <v>134</v>
      </c>
      <c r="B10" s="2" t="n">
        <v>2</v>
      </c>
      <c r="C10" s="2" t="s">
        <v>136</v>
      </c>
      <c r="D10" s="2" t="n">
        <v>3</v>
      </c>
      <c r="E10" s="2" t="n">
        <v>3.6</v>
      </c>
      <c r="F10" s="2" t="n">
        <v>110</v>
      </c>
      <c r="G10" s="2" t="n">
        <v>1.5</v>
      </c>
      <c r="H10" s="2" t="n">
        <v>2</v>
      </c>
      <c r="I10" s="2" t="n">
        <v>0.75</v>
      </c>
      <c r="J10" s="2" t="n">
        <v>0</v>
      </c>
      <c r="K10" s="2" t="n">
        <v>5</v>
      </c>
      <c r="L10" s="2" t="n">
        <v>1.5</v>
      </c>
      <c r="M10" s="2" t="n">
        <v>0</v>
      </c>
      <c r="N10" s="2" t="n">
        <v>3</v>
      </c>
      <c r="O10" s="2" t="n">
        <v>4.5</v>
      </c>
      <c r="P10" s="2" t="n">
        <v>45</v>
      </c>
      <c r="Q10" s="8"/>
      <c r="R10" s="8"/>
      <c r="S10" s="8"/>
      <c r="T10" s="8"/>
      <c r="U10" s="8"/>
    </row>
    <row r="11" customFormat="false" ht="15" hidden="false" customHeight="false" outlineLevel="0" collapsed="false">
      <c r="A11" s="2" t="s">
        <v>134</v>
      </c>
      <c r="B11" s="2" t="n">
        <v>2</v>
      </c>
      <c r="C11" s="2" t="s">
        <v>136</v>
      </c>
      <c r="D11" s="2" t="n">
        <v>4</v>
      </c>
      <c r="E11" s="2" t="n">
        <v>4.8</v>
      </c>
      <c r="F11" s="2" t="n">
        <v>110</v>
      </c>
      <c r="G11" s="2" t="n">
        <v>2</v>
      </c>
      <c r="H11" s="2" t="n">
        <v>3</v>
      </c>
      <c r="I11" s="2" t="n">
        <v>0.75</v>
      </c>
      <c r="J11" s="2" t="n">
        <v>0</v>
      </c>
      <c r="K11" s="2" t="n">
        <v>5</v>
      </c>
      <c r="L11" s="2" t="n">
        <v>1.5</v>
      </c>
      <c r="M11" s="2" t="n">
        <v>0</v>
      </c>
      <c r="N11" s="2" t="n">
        <v>6</v>
      </c>
      <c r="O11" s="2" t="n">
        <v>6</v>
      </c>
      <c r="P11" s="2" t="n">
        <v>45</v>
      </c>
      <c r="Q11" s="8"/>
      <c r="R11" s="8"/>
      <c r="S11" s="8"/>
      <c r="T11" s="8"/>
      <c r="U11" s="8"/>
    </row>
    <row r="12" customFormat="false" ht="15" hidden="false" customHeight="false" outlineLevel="0" collapsed="false">
      <c r="A12" s="2" t="s">
        <v>134</v>
      </c>
      <c r="B12" s="2" t="n">
        <v>1</v>
      </c>
      <c r="C12" s="2" t="s">
        <v>137</v>
      </c>
      <c r="D12" s="2" t="n">
        <v>0.5</v>
      </c>
      <c r="E12" s="2" t="n">
        <v>0.6</v>
      </c>
      <c r="F12" s="2" t="n">
        <v>100</v>
      </c>
      <c r="G12" s="2" t="n">
        <v>0.25</v>
      </c>
      <c r="H12" s="2" t="n">
        <v>0.4</v>
      </c>
      <c r="I12" s="2" t="n">
        <v>0.5</v>
      </c>
      <c r="J12" s="2" t="n">
        <v>0.03</v>
      </c>
      <c r="K12" s="2" t="n">
        <v>5</v>
      </c>
      <c r="L12" s="2" t="n">
        <v>1</v>
      </c>
      <c r="M12" s="2" t="n">
        <v>0</v>
      </c>
      <c r="N12" s="2" t="n">
        <v>1</v>
      </c>
      <c r="O12" s="2" t="n">
        <v>0.75</v>
      </c>
      <c r="P12" s="2" t="n">
        <v>60</v>
      </c>
      <c r="Q12" s="8"/>
      <c r="R12" s="8"/>
      <c r="S12" s="8"/>
      <c r="T12" s="8"/>
      <c r="U12" s="8"/>
    </row>
    <row r="13" customFormat="false" ht="15" hidden="false" customHeight="false" outlineLevel="0" collapsed="false">
      <c r="A13" s="2" t="s">
        <v>134</v>
      </c>
      <c r="B13" s="2" t="n">
        <v>1</v>
      </c>
      <c r="C13" s="2" t="s">
        <v>137</v>
      </c>
      <c r="D13" s="2" t="n">
        <v>1</v>
      </c>
      <c r="E13" s="2" t="n">
        <v>1.2</v>
      </c>
      <c r="F13" s="2" t="n">
        <v>100</v>
      </c>
      <c r="G13" s="2" t="n">
        <v>0.5</v>
      </c>
      <c r="H13" s="2" t="n">
        <v>0.75</v>
      </c>
      <c r="I13" s="2" t="n">
        <v>0.5</v>
      </c>
      <c r="J13" s="2" t="n">
        <v>0.03</v>
      </c>
      <c r="K13" s="2" t="n">
        <v>5</v>
      </c>
      <c r="L13" s="2" t="n">
        <v>1</v>
      </c>
      <c r="M13" s="2" t="n">
        <v>0</v>
      </c>
      <c r="N13" s="2" t="n">
        <v>2</v>
      </c>
      <c r="O13" s="2" t="n">
        <v>1.5</v>
      </c>
      <c r="P13" s="2" t="n">
        <v>60</v>
      </c>
      <c r="Q13" s="8"/>
      <c r="R13" s="8"/>
      <c r="S13" s="8"/>
      <c r="T13" s="8"/>
      <c r="U13" s="8"/>
    </row>
    <row r="14" customFormat="false" ht="15" hidden="false" customHeight="false" outlineLevel="0" collapsed="false">
      <c r="A14" s="2" t="s">
        <v>134</v>
      </c>
      <c r="B14" s="2" t="n">
        <v>1</v>
      </c>
      <c r="C14" s="2" t="s">
        <v>137</v>
      </c>
      <c r="D14" s="2" t="n">
        <v>2</v>
      </c>
      <c r="E14" s="2" t="n">
        <v>2.4</v>
      </c>
      <c r="F14" s="2" t="n">
        <v>100</v>
      </c>
      <c r="G14" s="2" t="n">
        <v>1</v>
      </c>
      <c r="H14" s="2" t="n">
        <v>1.5</v>
      </c>
      <c r="I14" s="2" t="n">
        <v>0.5</v>
      </c>
      <c r="J14" s="2" t="n">
        <v>0.03</v>
      </c>
      <c r="K14" s="2" t="n">
        <v>5</v>
      </c>
      <c r="L14" s="2" t="n">
        <v>1</v>
      </c>
      <c r="M14" s="2" t="n">
        <v>0</v>
      </c>
      <c r="N14" s="2" t="n">
        <v>4</v>
      </c>
      <c r="O14" s="2" t="n">
        <v>3</v>
      </c>
      <c r="P14" s="2" t="n">
        <v>60</v>
      </c>
      <c r="Q14" s="8"/>
      <c r="R14" s="8"/>
      <c r="S14" s="8"/>
      <c r="T14" s="8"/>
      <c r="U14" s="8"/>
    </row>
    <row r="15" customFormat="false" ht="15" hidden="false" customHeight="false" outlineLevel="0" collapsed="false">
      <c r="A15" s="2" t="s">
        <v>134</v>
      </c>
      <c r="B15" s="2" t="n">
        <v>1</v>
      </c>
      <c r="C15" s="2" t="s">
        <v>137</v>
      </c>
      <c r="D15" s="2" t="n">
        <v>3</v>
      </c>
      <c r="E15" s="2" t="n">
        <v>3.6</v>
      </c>
      <c r="F15" s="2" t="n">
        <v>100</v>
      </c>
      <c r="G15" s="2" t="n">
        <v>1.5</v>
      </c>
      <c r="H15" s="2" t="n">
        <v>2</v>
      </c>
      <c r="I15" s="2" t="n">
        <v>0.5</v>
      </c>
      <c r="J15" s="2" t="n">
        <v>0.03</v>
      </c>
      <c r="K15" s="2" t="n">
        <v>5</v>
      </c>
      <c r="L15" s="2" t="n">
        <v>1</v>
      </c>
      <c r="M15" s="2" t="n">
        <v>0</v>
      </c>
      <c r="N15" s="2" t="n">
        <v>3</v>
      </c>
      <c r="O15" s="2" t="n">
        <v>4.5</v>
      </c>
      <c r="P15" s="2" t="n">
        <v>60</v>
      </c>
      <c r="Q15" s="8"/>
      <c r="R15" s="8"/>
      <c r="S15" s="8"/>
      <c r="T15" s="8"/>
      <c r="U15" s="8"/>
    </row>
    <row r="16" customFormat="false" ht="15" hidden="false" customHeight="false" outlineLevel="0" collapsed="false">
      <c r="A16" s="2" t="s">
        <v>134</v>
      </c>
      <c r="B16" s="2" t="n">
        <v>1</v>
      </c>
      <c r="C16" s="2" t="s">
        <v>137</v>
      </c>
      <c r="D16" s="2" t="n">
        <v>4</v>
      </c>
      <c r="E16" s="2" t="n">
        <v>4.8</v>
      </c>
      <c r="F16" s="2" t="n">
        <v>100</v>
      </c>
      <c r="G16" s="2" t="n">
        <v>2</v>
      </c>
      <c r="H16" s="2" t="n">
        <v>3</v>
      </c>
      <c r="I16" s="2" t="n">
        <v>0.5</v>
      </c>
      <c r="J16" s="2" t="n">
        <v>0.03</v>
      </c>
      <c r="K16" s="2" t="n">
        <v>5</v>
      </c>
      <c r="L16" s="2" t="n">
        <v>1</v>
      </c>
      <c r="M16" s="2" t="n">
        <v>0</v>
      </c>
      <c r="N16" s="2" t="n">
        <v>6</v>
      </c>
      <c r="O16" s="2" t="n">
        <v>6</v>
      </c>
      <c r="P16" s="2" t="n">
        <v>60</v>
      </c>
      <c r="Q16" s="8"/>
      <c r="R16" s="8"/>
      <c r="S16" s="8"/>
      <c r="T16" s="8"/>
      <c r="U16" s="8"/>
    </row>
    <row r="17" customFormat="false" ht="15" hidden="false" customHeight="false" outlineLevel="0" collapsed="false">
      <c r="A17" s="2" t="s">
        <v>138</v>
      </c>
      <c r="B17" s="2" t="n">
        <v>5</v>
      </c>
      <c r="C17" s="2" t="s">
        <v>139</v>
      </c>
      <c r="D17" s="2" t="n">
        <v>1</v>
      </c>
      <c r="E17" s="2" t="n">
        <v>1.2</v>
      </c>
      <c r="F17" s="2" t="n">
        <v>100</v>
      </c>
      <c r="G17" s="2" t="n">
        <v>0.5</v>
      </c>
      <c r="H17" s="2" t="n">
        <v>0.75</v>
      </c>
      <c r="I17" s="2" t="n">
        <v>2</v>
      </c>
      <c r="J17" s="2" t="n">
        <v>0</v>
      </c>
      <c r="K17" s="2" t="n">
        <v>5</v>
      </c>
      <c r="L17" s="2" t="n">
        <v>4</v>
      </c>
      <c r="M17" s="2" t="n">
        <v>0</v>
      </c>
      <c r="N17" s="2" t="n">
        <v>1</v>
      </c>
      <c r="O17" s="2" t="n">
        <v>0.75</v>
      </c>
      <c r="P17" s="2" t="n">
        <v>15</v>
      </c>
      <c r="Q17" s="8"/>
      <c r="R17" s="8"/>
      <c r="S17" s="8"/>
      <c r="T17" s="8"/>
      <c r="U17" s="8"/>
    </row>
    <row r="18" customFormat="false" ht="15" hidden="false" customHeight="false" outlineLevel="0" collapsed="false">
      <c r="A18" s="2" t="s">
        <v>138</v>
      </c>
      <c r="B18" s="2" t="n">
        <v>5</v>
      </c>
      <c r="C18" s="2" t="s">
        <v>139</v>
      </c>
      <c r="D18" s="2" t="n">
        <v>2</v>
      </c>
      <c r="E18" s="2" t="n">
        <v>2.4</v>
      </c>
      <c r="F18" s="2" t="n">
        <v>100</v>
      </c>
      <c r="G18" s="2" t="n">
        <v>1</v>
      </c>
      <c r="H18" s="2" t="n">
        <v>1.5</v>
      </c>
      <c r="I18" s="2" t="n">
        <v>2</v>
      </c>
      <c r="J18" s="2" t="n">
        <v>0</v>
      </c>
      <c r="K18" s="2" t="n">
        <v>5</v>
      </c>
      <c r="L18" s="2" t="n">
        <v>4</v>
      </c>
      <c r="M18" s="2" t="n">
        <v>0</v>
      </c>
      <c r="N18" s="2" t="n">
        <v>2</v>
      </c>
      <c r="O18" s="2" t="n">
        <v>1.5</v>
      </c>
      <c r="P18" s="2" t="n">
        <v>15</v>
      </c>
      <c r="Q18" s="8"/>
      <c r="R18" s="8"/>
      <c r="S18" s="8"/>
      <c r="T18" s="8"/>
      <c r="U18" s="8"/>
    </row>
    <row r="19" customFormat="false" ht="15" hidden="false" customHeight="false" outlineLevel="0" collapsed="false">
      <c r="A19" s="2" t="s">
        <v>138</v>
      </c>
      <c r="B19" s="2" t="n">
        <v>5</v>
      </c>
      <c r="C19" s="2" t="s">
        <v>139</v>
      </c>
      <c r="D19" s="2" t="n">
        <v>3</v>
      </c>
      <c r="E19" s="2" t="n">
        <v>3.6</v>
      </c>
      <c r="F19" s="2" t="n">
        <v>100</v>
      </c>
      <c r="G19" s="2" t="n">
        <v>1.5</v>
      </c>
      <c r="H19" s="2" t="n">
        <v>2</v>
      </c>
      <c r="I19" s="2" t="n">
        <v>2</v>
      </c>
      <c r="J19" s="2" t="n">
        <v>0</v>
      </c>
      <c r="K19" s="2" t="n">
        <v>5</v>
      </c>
      <c r="L19" s="2" t="n">
        <v>4</v>
      </c>
      <c r="M19" s="2" t="n">
        <v>0</v>
      </c>
      <c r="N19" s="2" t="n">
        <v>3</v>
      </c>
      <c r="O19" s="2" t="n">
        <v>3</v>
      </c>
      <c r="P19" s="2" t="n">
        <v>15</v>
      </c>
      <c r="Q19" s="8"/>
      <c r="R19" s="8"/>
      <c r="S19" s="8"/>
      <c r="T19" s="8"/>
      <c r="U19" s="8"/>
    </row>
    <row r="20" customFormat="false" ht="15" hidden="false" customHeight="false" outlineLevel="0" collapsed="false">
      <c r="A20" s="2" t="s">
        <v>138</v>
      </c>
      <c r="B20" s="2" t="n">
        <v>5</v>
      </c>
      <c r="C20" s="2" t="s">
        <v>139</v>
      </c>
      <c r="D20" s="2" t="n">
        <v>4</v>
      </c>
      <c r="E20" s="2" t="n">
        <v>4.8</v>
      </c>
      <c r="F20" s="2" t="n">
        <v>100</v>
      </c>
      <c r="G20" s="2" t="n">
        <v>2</v>
      </c>
      <c r="H20" s="2" t="n">
        <v>3</v>
      </c>
      <c r="I20" s="2" t="n">
        <v>2</v>
      </c>
      <c r="J20" s="2" t="n">
        <v>0</v>
      </c>
      <c r="K20" s="2" t="n">
        <v>5</v>
      </c>
      <c r="L20" s="2" t="n">
        <v>4</v>
      </c>
      <c r="M20" s="2" t="n">
        <v>0</v>
      </c>
      <c r="N20" s="2" t="n">
        <v>4</v>
      </c>
      <c r="O20" s="2" t="n">
        <v>4.5</v>
      </c>
      <c r="P20" s="2" t="n">
        <v>15</v>
      </c>
      <c r="Q20" s="8"/>
      <c r="R20" s="8"/>
      <c r="S20" s="8"/>
      <c r="T20" s="8"/>
      <c r="U20" s="8"/>
    </row>
    <row r="21" customFormat="false" ht="15" hidden="false" customHeight="false" outlineLevel="0" collapsed="false">
      <c r="A21" s="2" t="s">
        <v>138</v>
      </c>
      <c r="B21" s="2" t="n">
        <v>4</v>
      </c>
      <c r="C21" s="2" t="s">
        <v>140</v>
      </c>
      <c r="D21" s="2" t="n">
        <v>0.5</v>
      </c>
      <c r="E21" s="2" t="n">
        <v>0.6</v>
      </c>
      <c r="F21" s="2" t="n">
        <v>102</v>
      </c>
      <c r="G21" s="2" t="n">
        <v>0.25</v>
      </c>
      <c r="H21" s="2" t="n">
        <v>0.4</v>
      </c>
      <c r="I21" s="2" t="n">
        <v>2</v>
      </c>
      <c r="J21" s="2" t="n">
        <v>0</v>
      </c>
      <c r="K21" s="2" t="n">
        <v>5</v>
      </c>
      <c r="L21" s="2" t="n">
        <v>4</v>
      </c>
      <c r="M21" s="2" t="n">
        <v>0</v>
      </c>
      <c r="N21" s="2" t="n">
        <v>0.5</v>
      </c>
      <c r="O21" s="2" t="n">
        <v>0.75</v>
      </c>
      <c r="P21" s="2" t="n">
        <v>20</v>
      </c>
      <c r="Q21" s="8"/>
      <c r="R21" s="8"/>
      <c r="S21" s="8"/>
      <c r="T21" s="8"/>
      <c r="U21" s="8"/>
    </row>
    <row r="22" customFormat="false" ht="15" hidden="false" customHeight="false" outlineLevel="0" collapsed="false">
      <c r="A22" s="2" t="s">
        <v>138</v>
      </c>
      <c r="B22" s="2" t="n">
        <v>4</v>
      </c>
      <c r="C22" s="2" t="s">
        <v>140</v>
      </c>
      <c r="D22" s="2" t="n">
        <v>1</v>
      </c>
      <c r="E22" s="2" t="n">
        <v>1.2</v>
      </c>
      <c r="F22" s="2" t="n">
        <v>102</v>
      </c>
      <c r="G22" s="2" t="n">
        <v>0.5</v>
      </c>
      <c r="H22" s="2" t="n">
        <v>0.75</v>
      </c>
      <c r="I22" s="2" t="n">
        <v>2</v>
      </c>
      <c r="J22" s="2" t="n">
        <v>0</v>
      </c>
      <c r="K22" s="2" t="n">
        <v>5</v>
      </c>
      <c r="L22" s="2" t="n">
        <v>4</v>
      </c>
      <c r="M22" s="2" t="n">
        <v>0</v>
      </c>
      <c r="N22" s="2" t="n">
        <v>1</v>
      </c>
      <c r="O22" s="2" t="n">
        <v>1.5</v>
      </c>
      <c r="P22" s="2" t="n">
        <v>20</v>
      </c>
      <c r="Q22" s="8"/>
      <c r="R22" s="8"/>
      <c r="S22" s="8"/>
      <c r="T22" s="8"/>
      <c r="U22" s="8"/>
    </row>
    <row r="23" customFormat="false" ht="15" hidden="false" customHeight="false" outlineLevel="0" collapsed="false">
      <c r="A23" s="2" t="s">
        <v>138</v>
      </c>
      <c r="B23" s="2" t="n">
        <v>4</v>
      </c>
      <c r="C23" s="2" t="s">
        <v>140</v>
      </c>
      <c r="D23" s="2" t="n">
        <v>2</v>
      </c>
      <c r="E23" s="2" t="n">
        <v>2.4</v>
      </c>
      <c r="F23" s="2" t="n">
        <v>102</v>
      </c>
      <c r="G23" s="2" t="n">
        <v>1</v>
      </c>
      <c r="H23" s="2" t="n">
        <v>1.5</v>
      </c>
      <c r="I23" s="2" t="n">
        <v>2</v>
      </c>
      <c r="J23" s="2" t="n">
        <v>0</v>
      </c>
      <c r="K23" s="2" t="n">
        <v>5</v>
      </c>
      <c r="L23" s="2" t="n">
        <v>4</v>
      </c>
      <c r="M23" s="2" t="n">
        <v>0</v>
      </c>
      <c r="N23" s="2" t="n">
        <v>2</v>
      </c>
      <c r="O23" s="2" t="n">
        <v>3</v>
      </c>
      <c r="P23" s="2" t="n">
        <v>20</v>
      </c>
      <c r="Q23" s="8"/>
      <c r="R23" s="8"/>
      <c r="S23" s="8"/>
      <c r="T23" s="8"/>
      <c r="U23" s="8"/>
    </row>
    <row r="24" customFormat="false" ht="15" hidden="false" customHeight="false" outlineLevel="0" collapsed="false">
      <c r="A24" s="2" t="s">
        <v>138</v>
      </c>
      <c r="B24" s="2" t="n">
        <v>4</v>
      </c>
      <c r="C24" s="2" t="s">
        <v>140</v>
      </c>
      <c r="D24" s="2" t="n">
        <v>3</v>
      </c>
      <c r="E24" s="2" t="n">
        <v>3.6</v>
      </c>
      <c r="F24" s="2" t="n">
        <v>102</v>
      </c>
      <c r="G24" s="2" t="n">
        <v>1.5</v>
      </c>
      <c r="H24" s="2" t="n">
        <v>2</v>
      </c>
      <c r="I24" s="2" t="n">
        <v>2</v>
      </c>
      <c r="J24" s="2" t="n">
        <v>0</v>
      </c>
      <c r="K24" s="2" t="n">
        <v>5</v>
      </c>
      <c r="L24" s="2" t="n">
        <v>4</v>
      </c>
      <c r="M24" s="2" t="n">
        <v>0</v>
      </c>
      <c r="N24" s="2" t="n">
        <v>3</v>
      </c>
      <c r="O24" s="2" t="n">
        <v>4.5</v>
      </c>
      <c r="P24" s="2" t="n">
        <v>20</v>
      </c>
      <c r="Q24" s="8"/>
      <c r="R24" s="8"/>
      <c r="S24" s="8"/>
      <c r="T24" s="8"/>
      <c r="U24" s="8"/>
    </row>
    <row r="25" customFormat="false" ht="15" hidden="false" customHeight="false" outlineLevel="0" collapsed="false">
      <c r="A25" s="2" t="s">
        <v>138</v>
      </c>
      <c r="B25" s="2" t="n">
        <v>4</v>
      </c>
      <c r="C25" s="2" t="s">
        <v>140</v>
      </c>
      <c r="D25" s="2" t="n">
        <v>4</v>
      </c>
      <c r="E25" s="2" t="n">
        <v>4.8</v>
      </c>
      <c r="F25" s="2" t="n">
        <v>102</v>
      </c>
      <c r="G25" s="2" t="n">
        <v>2</v>
      </c>
      <c r="H25" s="2" t="n">
        <v>3</v>
      </c>
      <c r="I25" s="2" t="n">
        <v>2</v>
      </c>
      <c r="J25" s="2" t="n">
        <v>0</v>
      </c>
      <c r="K25" s="2" t="n">
        <v>5</v>
      </c>
      <c r="L25" s="2" t="n">
        <v>4</v>
      </c>
      <c r="M25" s="2" t="n">
        <v>0</v>
      </c>
      <c r="N25" s="2" t="n">
        <v>4</v>
      </c>
      <c r="O25" s="2" t="n">
        <v>6</v>
      </c>
      <c r="P25" s="2" t="n">
        <v>20</v>
      </c>
      <c r="Q25" s="8"/>
      <c r="R25" s="8"/>
      <c r="S25" s="8"/>
      <c r="T25" s="8"/>
      <c r="U25" s="8"/>
    </row>
    <row r="26" customFormat="false" ht="15" hidden="false" customHeight="false" outlineLevel="0" collapsed="false">
      <c r="A26" s="2" t="s">
        <v>138</v>
      </c>
      <c r="B26" s="2" t="n">
        <v>3</v>
      </c>
      <c r="C26" s="2" t="s">
        <v>135</v>
      </c>
      <c r="D26" s="2" t="n">
        <v>0.5</v>
      </c>
      <c r="E26" s="2" t="n">
        <v>0.6</v>
      </c>
      <c r="F26" s="2" t="n">
        <v>105</v>
      </c>
      <c r="G26" s="2" t="n">
        <v>0.25</v>
      </c>
      <c r="H26" s="2" t="n">
        <v>0.4</v>
      </c>
      <c r="I26" s="2" t="n">
        <v>1</v>
      </c>
      <c r="J26" s="2" t="n">
        <v>0</v>
      </c>
      <c r="K26" s="2" t="n">
        <v>10</v>
      </c>
      <c r="L26" s="2" t="n">
        <v>2</v>
      </c>
      <c r="M26" s="2" t="n">
        <v>0</v>
      </c>
      <c r="N26" s="2" t="n">
        <v>0.5</v>
      </c>
      <c r="O26" s="2" t="n">
        <v>0.75</v>
      </c>
      <c r="P26" s="2" t="n">
        <v>30</v>
      </c>
      <c r="Q26" s="8"/>
      <c r="R26" s="8"/>
      <c r="S26" s="8"/>
      <c r="T26" s="8"/>
      <c r="U26" s="8"/>
    </row>
    <row r="27" customFormat="false" ht="15" hidden="false" customHeight="false" outlineLevel="0" collapsed="false">
      <c r="A27" s="2" t="s">
        <v>138</v>
      </c>
      <c r="B27" s="2" t="n">
        <v>3</v>
      </c>
      <c r="C27" s="2" t="s">
        <v>135</v>
      </c>
      <c r="D27" s="2" t="n">
        <v>1</v>
      </c>
      <c r="E27" s="2" t="n">
        <v>1.2</v>
      </c>
      <c r="F27" s="2" t="n">
        <v>105</v>
      </c>
      <c r="G27" s="2" t="n">
        <v>0.5</v>
      </c>
      <c r="H27" s="2" t="n">
        <v>0.75</v>
      </c>
      <c r="I27" s="2" t="n">
        <v>1</v>
      </c>
      <c r="J27" s="2" t="n">
        <v>0</v>
      </c>
      <c r="K27" s="2" t="n">
        <v>10</v>
      </c>
      <c r="L27" s="2" t="n">
        <v>2</v>
      </c>
      <c r="M27" s="2" t="n">
        <v>0</v>
      </c>
      <c r="N27" s="2" t="n">
        <v>1</v>
      </c>
      <c r="O27" s="2" t="n">
        <v>1.5</v>
      </c>
      <c r="P27" s="2" t="n">
        <v>30</v>
      </c>
      <c r="Q27" s="8"/>
      <c r="R27" s="8"/>
      <c r="S27" s="8"/>
      <c r="T27" s="8"/>
      <c r="U27" s="8"/>
    </row>
    <row r="28" customFormat="false" ht="15" hidden="false" customHeight="false" outlineLevel="0" collapsed="false">
      <c r="A28" s="2" t="s">
        <v>138</v>
      </c>
      <c r="B28" s="2" t="n">
        <v>3</v>
      </c>
      <c r="C28" s="2" t="s">
        <v>135</v>
      </c>
      <c r="D28" s="2" t="n">
        <v>2</v>
      </c>
      <c r="E28" s="2" t="n">
        <v>2.4</v>
      </c>
      <c r="F28" s="2" t="n">
        <v>105</v>
      </c>
      <c r="G28" s="2" t="n">
        <v>1</v>
      </c>
      <c r="H28" s="2" t="n">
        <v>1.5</v>
      </c>
      <c r="I28" s="2" t="n">
        <v>1</v>
      </c>
      <c r="J28" s="2" t="n">
        <v>0</v>
      </c>
      <c r="K28" s="2" t="n">
        <v>10</v>
      </c>
      <c r="L28" s="2" t="n">
        <v>2</v>
      </c>
      <c r="M28" s="2" t="n">
        <v>0</v>
      </c>
      <c r="N28" s="2" t="n">
        <v>2</v>
      </c>
      <c r="O28" s="2" t="n">
        <v>3</v>
      </c>
      <c r="P28" s="2" t="n">
        <v>30</v>
      </c>
      <c r="Q28" s="8"/>
      <c r="R28" s="8"/>
      <c r="S28" s="8"/>
      <c r="T28" s="8"/>
      <c r="U28" s="8"/>
    </row>
    <row r="29" customFormat="false" ht="15" hidden="false" customHeight="false" outlineLevel="0" collapsed="false">
      <c r="A29" s="2" t="s">
        <v>138</v>
      </c>
      <c r="B29" s="2" t="n">
        <v>3</v>
      </c>
      <c r="C29" s="2" t="s">
        <v>135</v>
      </c>
      <c r="D29" s="2" t="n">
        <v>3</v>
      </c>
      <c r="E29" s="2" t="n">
        <v>3.6</v>
      </c>
      <c r="F29" s="2" t="n">
        <v>105</v>
      </c>
      <c r="G29" s="2" t="n">
        <v>1.5</v>
      </c>
      <c r="H29" s="2" t="n">
        <v>2</v>
      </c>
      <c r="I29" s="2" t="n">
        <v>1</v>
      </c>
      <c r="J29" s="2" t="n">
        <v>0</v>
      </c>
      <c r="K29" s="2" t="n">
        <v>10</v>
      </c>
      <c r="L29" s="2" t="n">
        <v>2</v>
      </c>
      <c r="M29" s="2" t="n">
        <v>0</v>
      </c>
      <c r="N29" s="2" t="n">
        <v>3</v>
      </c>
      <c r="O29" s="2" t="n">
        <v>4.5</v>
      </c>
      <c r="P29" s="2" t="n">
        <v>30</v>
      </c>
      <c r="Q29" s="8"/>
      <c r="R29" s="8"/>
      <c r="S29" s="8"/>
      <c r="T29" s="8"/>
      <c r="U29" s="8"/>
    </row>
    <row r="30" customFormat="false" ht="15" hidden="false" customHeight="false" outlineLevel="0" collapsed="false">
      <c r="A30" s="2" t="s">
        <v>138</v>
      </c>
      <c r="B30" s="2" t="n">
        <v>3</v>
      </c>
      <c r="C30" s="2" t="s">
        <v>135</v>
      </c>
      <c r="D30" s="2" t="n">
        <v>4</v>
      </c>
      <c r="E30" s="2" t="n">
        <v>4.8</v>
      </c>
      <c r="F30" s="2" t="n">
        <v>105</v>
      </c>
      <c r="G30" s="2" t="n">
        <v>2</v>
      </c>
      <c r="H30" s="2" t="n">
        <v>3</v>
      </c>
      <c r="I30" s="2" t="n">
        <v>1</v>
      </c>
      <c r="J30" s="2" t="n">
        <v>0</v>
      </c>
      <c r="K30" s="2" t="n">
        <v>10</v>
      </c>
      <c r="L30" s="2" t="n">
        <v>2</v>
      </c>
      <c r="M30" s="2" t="n">
        <v>0</v>
      </c>
      <c r="N30" s="2" t="n">
        <v>4</v>
      </c>
      <c r="O30" s="2" t="n">
        <v>6</v>
      </c>
      <c r="P30" s="2" t="n">
        <v>30</v>
      </c>
      <c r="Q30" s="8"/>
      <c r="R30" s="8"/>
      <c r="S30" s="8"/>
      <c r="T30" s="8"/>
      <c r="U30" s="8"/>
    </row>
    <row r="31" customFormat="false" ht="15" hidden="false" customHeight="false" outlineLevel="0" collapsed="false">
      <c r="A31" s="2" t="s">
        <v>138</v>
      </c>
      <c r="B31" s="2" t="n">
        <v>2</v>
      </c>
      <c r="C31" s="2" t="s">
        <v>136</v>
      </c>
      <c r="D31" s="2" t="n">
        <v>0.5</v>
      </c>
      <c r="E31" s="2" t="n">
        <v>0.6</v>
      </c>
      <c r="F31" s="2" t="n">
        <v>110</v>
      </c>
      <c r="G31" s="2" t="n">
        <v>0.25</v>
      </c>
      <c r="H31" s="2" t="n">
        <v>0.4</v>
      </c>
      <c r="I31" s="2" t="n">
        <v>0.2</v>
      </c>
      <c r="J31" s="2" t="n">
        <v>0</v>
      </c>
      <c r="K31" s="2" t="n">
        <v>10</v>
      </c>
      <c r="L31" s="2" t="n">
        <v>0.4</v>
      </c>
      <c r="M31" s="2" t="n">
        <v>0</v>
      </c>
      <c r="N31" s="2" t="n">
        <v>1</v>
      </c>
      <c r="O31" s="2" t="n">
        <v>0.75</v>
      </c>
      <c r="P31" s="2" t="n">
        <v>45</v>
      </c>
      <c r="Q31" s="8"/>
      <c r="R31" s="8"/>
      <c r="S31" s="8"/>
      <c r="T31" s="8"/>
      <c r="U31" s="8"/>
    </row>
    <row r="32" customFormat="false" ht="15" hidden="false" customHeight="false" outlineLevel="0" collapsed="false">
      <c r="A32" s="2" t="s">
        <v>138</v>
      </c>
      <c r="B32" s="2" t="n">
        <v>2</v>
      </c>
      <c r="C32" s="2" t="s">
        <v>136</v>
      </c>
      <c r="D32" s="2" t="n">
        <v>1</v>
      </c>
      <c r="E32" s="2" t="n">
        <v>1.2</v>
      </c>
      <c r="F32" s="2" t="n">
        <v>110</v>
      </c>
      <c r="G32" s="2" t="n">
        <v>0.5</v>
      </c>
      <c r="H32" s="2" t="n">
        <v>0.75</v>
      </c>
      <c r="I32" s="2" t="n">
        <v>0.2</v>
      </c>
      <c r="J32" s="2" t="n">
        <v>0</v>
      </c>
      <c r="K32" s="2" t="n">
        <v>10</v>
      </c>
      <c r="L32" s="2" t="n">
        <v>0.4</v>
      </c>
      <c r="M32" s="2" t="n">
        <v>0</v>
      </c>
      <c r="N32" s="2" t="n">
        <v>1</v>
      </c>
      <c r="O32" s="2" t="n">
        <v>1.5</v>
      </c>
      <c r="P32" s="2" t="n">
        <v>45</v>
      </c>
      <c r="Q32" s="8"/>
      <c r="R32" s="8"/>
      <c r="S32" s="8"/>
      <c r="T32" s="8"/>
      <c r="U32" s="8"/>
    </row>
    <row r="33" customFormat="false" ht="15" hidden="false" customHeight="false" outlineLevel="0" collapsed="false">
      <c r="A33" s="2" t="s">
        <v>138</v>
      </c>
      <c r="B33" s="2" t="n">
        <v>2</v>
      </c>
      <c r="C33" s="2" t="s">
        <v>136</v>
      </c>
      <c r="D33" s="2" t="n">
        <v>2</v>
      </c>
      <c r="E33" s="2" t="n">
        <v>2.4</v>
      </c>
      <c r="F33" s="2" t="n">
        <v>110</v>
      </c>
      <c r="G33" s="2" t="n">
        <v>1</v>
      </c>
      <c r="H33" s="2" t="n">
        <v>1.5</v>
      </c>
      <c r="I33" s="2" t="n">
        <v>0.2</v>
      </c>
      <c r="J33" s="2" t="n">
        <v>0</v>
      </c>
      <c r="K33" s="2" t="n">
        <v>10</v>
      </c>
      <c r="L33" s="2" t="n">
        <v>0.4</v>
      </c>
      <c r="M33" s="2" t="n">
        <v>0</v>
      </c>
      <c r="N33" s="2" t="n">
        <v>1</v>
      </c>
      <c r="O33" s="2" t="n">
        <v>3</v>
      </c>
      <c r="P33" s="2" t="n">
        <v>45</v>
      </c>
      <c r="Q33" s="8"/>
      <c r="R33" s="8"/>
      <c r="S33" s="8"/>
      <c r="T33" s="8"/>
      <c r="U33" s="8"/>
    </row>
    <row r="34" customFormat="false" ht="15" hidden="false" customHeight="false" outlineLevel="0" collapsed="false">
      <c r="A34" s="2" t="s">
        <v>138</v>
      </c>
      <c r="B34" s="2" t="n">
        <v>2</v>
      </c>
      <c r="C34" s="2" t="s">
        <v>136</v>
      </c>
      <c r="D34" s="2" t="n">
        <v>3</v>
      </c>
      <c r="E34" s="2" t="n">
        <v>3.6</v>
      </c>
      <c r="F34" s="2" t="n">
        <v>110</v>
      </c>
      <c r="G34" s="2" t="n">
        <v>1.5</v>
      </c>
      <c r="H34" s="2" t="n">
        <v>2</v>
      </c>
      <c r="I34" s="2" t="n">
        <v>0.2</v>
      </c>
      <c r="J34" s="2" t="n">
        <v>0</v>
      </c>
      <c r="K34" s="2" t="n">
        <v>10</v>
      </c>
      <c r="L34" s="2" t="n">
        <v>0.4</v>
      </c>
      <c r="M34" s="2" t="n">
        <v>0</v>
      </c>
      <c r="N34" s="2" t="n">
        <v>1</v>
      </c>
      <c r="O34" s="2" t="n">
        <v>4.5</v>
      </c>
      <c r="P34" s="2" t="n">
        <v>45</v>
      </c>
      <c r="Q34" s="8"/>
      <c r="R34" s="8"/>
      <c r="S34" s="8"/>
      <c r="T34" s="8"/>
      <c r="U34" s="8"/>
    </row>
    <row r="35" customFormat="false" ht="15" hidden="false" customHeight="false" outlineLevel="0" collapsed="false">
      <c r="A35" s="2" t="s">
        <v>138</v>
      </c>
      <c r="B35" s="2" t="n">
        <v>2</v>
      </c>
      <c r="C35" s="2" t="s">
        <v>136</v>
      </c>
      <c r="D35" s="2" t="n">
        <v>4</v>
      </c>
      <c r="E35" s="2" t="n">
        <v>4.8</v>
      </c>
      <c r="F35" s="2" t="n">
        <v>110</v>
      </c>
      <c r="G35" s="2" t="n">
        <v>2</v>
      </c>
      <c r="H35" s="2" t="n">
        <v>3</v>
      </c>
      <c r="I35" s="2" t="n">
        <v>0.2</v>
      </c>
      <c r="J35" s="2" t="n">
        <v>0</v>
      </c>
      <c r="K35" s="2" t="n">
        <v>10</v>
      </c>
      <c r="L35" s="2" t="n">
        <v>0.4</v>
      </c>
      <c r="M35" s="2" t="n">
        <v>0</v>
      </c>
      <c r="N35" s="2" t="n">
        <v>1</v>
      </c>
      <c r="O35" s="2" t="n">
        <v>6</v>
      </c>
      <c r="P35" s="2" t="n">
        <v>45</v>
      </c>
      <c r="Q35" s="8"/>
      <c r="R35" s="8"/>
      <c r="S35" s="8"/>
      <c r="T35" s="8"/>
      <c r="U35" s="8"/>
    </row>
    <row r="36" customFormat="false" ht="15" hidden="false" customHeight="false" outlineLevel="0" collapsed="false">
      <c r="A36" s="2" t="s">
        <v>138</v>
      </c>
      <c r="B36" s="2" t="n">
        <v>1</v>
      </c>
      <c r="C36" s="2" t="s">
        <v>137</v>
      </c>
      <c r="D36" s="2" t="n">
        <v>0.5</v>
      </c>
      <c r="E36" s="2" t="n">
        <v>0.6</v>
      </c>
      <c r="F36" s="2" t="n">
        <v>96</v>
      </c>
      <c r="G36" s="2" t="n">
        <v>0.25</v>
      </c>
      <c r="H36" s="2" t="n">
        <v>0.4</v>
      </c>
      <c r="I36" s="2" t="n">
        <v>0.1</v>
      </c>
      <c r="J36" s="2" t="n">
        <v>0.03</v>
      </c>
      <c r="K36" s="2" t="n">
        <v>5</v>
      </c>
      <c r="L36" s="2" t="n">
        <v>0.2</v>
      </c>
      <c r="M36" s="2" t="n">
        <v>0.03</v>
      </c>
      <c r="N36" s="2" t="n">
        <v>0</v>
      </c>
      <c r="O36" s="2" t="n">
        <v>0.75</v>
      </c>
      <c r="P36" s="2" t="n">
        <v>60</v>
      </c>
      <c r="Q36" s="8"/>
      <c r="R36" s="8"/>
      <c r="S36" s="8"/>
      <c r="T36" s="8"/>
      <c r="U36" s="8"/>
    </row>
    <row r="37" customFormat="false" ht="15" hidden="false" customHeight="false" outlineLevel="0" collapsed="false">
      <c r="A37" s="2" t="s">
        <v>138</v>
      </c>
      <c r="B37" s="2" t="n">
        <v>1</v>
      </c>
      <c r="C37" s="2" t="s">
        <v>137</v>
      </c>
      <c r="D37" s="2" t="n">
        <v>1</v>
      </c>
      <c r="E37" s="2" t="n">
        <v>1.2</v>
      </c>
      <c r="F37" s="2" t="n">
        <v>96</v>
      </c>
      <c r="G37" s="2" t="n">
        <v>0.5</v>
      </c>
      <c r="H37" s="2" t="n">
        <v>0.75</v>
      </c>
      <c r="I37" s="2" t="n">
        <v>0.1</v>
      </c>
      <c r="J37" s="2" t="n">
        <v>0.03</v>
      </c>
      <c r="K37" s="2" t="n">
        <v>5</v>
      </c>
      <c r="L37" s="2" t="n">
        <v>0.2</v>
      </c>
      <c r="M37" s="2" t="n">
        <v>0.03</v>
      </c>
      <c r="N37" s="2" t="n">
        <v>0</v>
      </c>
      <c r="O37" s="2" t="n">
        <v>1.5</v>
      </c>
      <c r="P37" s="2" t="n">
        <v>60</v>
      </c>
      <c r="Q37" s="8"/>
      <c r="R37" s="8"/>
      <c r="S37" s="8"/>
      <c r="T37" s="8"/>
      <c r="U37" s="8"/>
    </row>
    <row r="38" customFormat="false" ht="15" hidden="false" customHeight="false" outlineLevel="0" collapsed="false">
      <c r="A38" s="2" t="s">
        <v>138</v>
      </c>
      <c r="B38" s="2" t="n">
        <v>1</v>
      </c>
      <c r="C38" s="2" t="s">
        <v>137</v>
      </c>
      <c r="D38" s="2" t="n">
        <v>2</v>
      </c>
      <c r="E38" s="2" t="n">
        <v>2.4</v>
      </c>
      <c r="F38" s="2" t="n">
        <v>96</v>
      </c>
      <c r="G38" s="2" t="n">
        <v>1</v>
      </c>
      <c r="H38" s="2" t="n">
        <v>1.5</v>
      </c>
      <c r="I38" s="2" t="n">
        <v>0.1</v>
      </c>
      <c r="J38" s="2" t="n">
        <v>0.03</v>
      </c>
      <c r="K38" s="2" t="n">
        <v>5</v>
      </c>
      <c r="L38" s="2" t="n">
        <v>0.2</v>
      </c>
      <c r="M38" s="2" t="n">
        <v>0.03</v>
      </c>
      <c r="N38" s="2" t="n">
        <v>0</v>
      </c>
      <c r="O38" s="2" t="n">
        <v>3</v>
      </c>
      <c r="P38" s="2" t="n">
        <v>60</v>
      </c>
      <c r="Q38" s="8"/>
      <c r="R38" s="8"/>
      <c r="S38" s="8"/>
      <c r="T38" s="8"/>
      <c r="U38" s="8"/>
    </row>
    <row r="39" customFormat="false" ht="15" hidden="false" customHeight="false" outlineLevel="0" collapsed="false">
      <c r="A39" s="2" t="s">
        <v>138</v>
      </c>
      <c r="B39" s="2" t="n">
        <v>1</v>
      </c>
      <c r="C39" s="2" t="s">
        <v>137</v>
      </c>
      <c r="D39" s="2" t="n">
        <v>3</v>
      </c>
      <c r="E39" s="2" t="n">
        <v>3.6</v>
      </c>
      <c r="F39" s="2" t="n">
        <v>96</v>
      </c>
      <c r="G39" s="2" t="n">
        <v>1.5</v>
      </c>
      <c r="H39" s="2" t="n">
        <v>2</v>
      </c>
      <c r="I39" s="2" t="n">
        <v>0.1</v>
      </c>
      <c r="J39" s="2" t="n">
        <v>0.03</v>
      </c>
      <c r="K39" s="2" t="n">
        <v>5</v>
      </c>
      <c r="L39" s="2" t="n">
        <v>0.2</v>
      </c>
      <c r="M39" s="2" t="n">
        <v>0.03</v>
      </c>
      <c r="N39" s="2" t="n">
        <v>0</v>
      </c>
      <c r="O39" s="2" t="n">
        <v>4.5</v>
      </c>
      <c r="P39" s="2" t="n">
        <v>60</v>
      </c>
      <c r="Q39" s="8"/>
      <c r="R39" s="8"/>
      <c r="S39" s="8"/>
      <c r="T39" s="8"/>
      <c r="U39" s="8"/>
    </row>
    <row r="40" customFormat="false" ht="15" hidden="false" customHeight="false" outlineLevel="0" collapsed="false">
      <c r="A40" s="2" t="s">
        <v>138</v>
      </c>
      <c r="B40" s="2" t="n">
        <v>1</v>
      </c>
      <c r="C40" s="2" t="s">
        <v>137</v>
      </c>
      <c r="D40" s="2" t="n">
        <v>4</v>
      </c>
      <c r="E40" s="2" t="n">
        <v>4.8</v>
      </c>
      <c r="F40" s="2" t="n">
        <v>96</v>
      </c>
      <c r="G40" s="2" t="n">
        <v>2</v>
      </c>
      <c r="H40" s="2" t="n">
        <v>3</v>
      </c>
      <c r="I40" s="2" t="n">
        <v>0.1</v>
      </c>
      <c r="J40" s="2" t="n">
        <v>0.03</v>
      </c>
      <c r="K40" s="2" t="n">
        <v>5</v>
      </c>
      <c r="L40" s="2" t="n">
        <v>0.2</v>
      </c>
      <c r="M40" s="2" t="n">
        <v>0.03</v>
      </c>
      <c r="N40" s="2" t="n">
        <v>0</v>
      </c>
      <c r="O40" s="2" t="n">
        <v>6</v>
      </c>
      <c r="P40" s="2" t="n">
        <v>60</v>
      </c>
      <c r="Q40" s="8"/>
      <c r="R40" s="8"/>
      <c r="S40" s="8"/>
      <c r="T40" s="8"/>
      <c r="U4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2026-09-28T13:06:05Z</dcterms:created>
  <dc:creator>openpyxl</dc:creator>
  <dc:description/>
  <dc:language>en-GB</dc:language>
  <cp:lastModifiedBy/>
  <dcterms:modified xsi:type="dcterms:W3CDTF">2026-09-28T15:18:23Z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