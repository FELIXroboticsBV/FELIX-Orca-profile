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chines" sheetId="1" state="visible" r:id="rId3"/>
    <sheet name="Plastic_Material_Data" sheetId="2" state="visible" r:id="rId4"/>
    <sheet name="Food_Material_Data" sheetId="3" state="visible" r:id="rId5"/>
    <sheet name="Process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<sst xmlns="http://schemas.openxmlformats.org/spreadsheetml/2006/main" count="826" uniqueCount="132">
  <si>
    <t xml:space="preserve">PrinterModel</t>
  </si>
  <si>
    <t xml:space="preserve">VariantLabel</t>
  </si>
  <si>
    <t xml:space="preserve">IsDouble</t>
  </si>
  <si>
    <t xml:space="preserve">Nozzle1_mm</t>
  </si>
  <si>
    <t xml:space="preserve">Nozzle2_mm</t>
  </si>
  <si>
    <t xml:space="preserve">MinLayer_mm</t>
  </si>
  <si>
    <t xml:space="preserve">MaxLayer_mm</t>
  </si>
  <si>
    <t xml:space="preserve">Inherits</t>
  </si>
  <si>
    <t xml:space="preserve">PrinterVariant</t>
  </si>
  <si>
    <t xml:space="preserve">ExtruderOffset</t>
  </si>
  <si>
    <t xml:space="preserve">GcodeFlavor</t>
  </si>
  <si>
    <t xml:space="preserve">DefaultPrintProfile</t>
  </si>
  <si>
    <t xml:space="preserve">DefaultFilamentProfile</t>
  </si>
  <si>
    <t xml:space="preserve">Filename</t>
  </si>
  <si>
    <t xml:space="preserve">FELIX Pro 3</t>
  </si>
  <si>
    <t xml:space="preserve">fdm_felix_pro_3_common</t>
  </si>
  <si>
    <t xml:space="preserve">0.25</t>
  </si>
  <si>
    <t xml:space="preserve">0x0;0x0</t>
  </si>
  <si>
    <t xml:space="preserve">repetier</t>
  </si>
  <si>
    <t xml:space="preserve">0.35</t>
  </si>
  <si>
    <t xml:space="preserve">0.50</t>
  </si>
  <si>
    <t xml:space="preserve">0.70</t>
  </si>
  <si>
    <t xml:space="preserve">FELIX Pro L 3.0</t>
  </si>
  <si>
    <t xml:space="preserve">fdm_felix_pro_l_3_common</t>
  </si>
  <si>
    <t xml:space="preserve">FELIX Pro XL 3.0</t>
  </si>
  <si>
    <t xml:space="preserve">fdm_felix_pro_xl_3_common</t>
  </si>
  <si>
    <t xml:space="preserve">FELIX Tec 4</t>
  </si>
  <si>
    <t xml:space="preserve">fdm_felix_tec_common</t>
  </si>
  <si>
    <t xml:space="preserve">FELIX Food Single</t>
  </si>
  <si>
    <t xml:space="preserve">fdm_felix_food_common</t>
  </si>
  <si>
    <t xml:space="preserve">0.5</t>
  </si>
  <si>
    <t xml:space="preserve">1.0</t>
  </si>
  <si>
    <t xml:space="preserve">2.0</t>
  </si>
  <si>
    <t xml:space="preserve">3.0</t>
  </si>
  <si>
    <t xml:space="preserve">4.0</t>
  </si>
  <si>
    <t xml:space="preserve">FELIX Food Double</t>
  </si>
  <si>
    <t xml:space="preserve">fdm_felix_food_double_common</t>
  </si>
  <si>
    <t xml:space="preserve">FELIX Food Switch</t>
  </si>
  <si>
    <t xml:space="preserve">fdm_felix_food_switch_common</t>
  </si>
  <si>
    <t xml:space="preserve">Name</t>
  </si>
  <si>
    <t xml:space="preserve">Nozzle_mm</t>
  </si>
  <si>
    <t xml:space="preserve">Compatible printer names</t>
  </si>
  <si>
    <t xml:space="preserve">RetractExtraPrime_mm</t>
  </si>
  <si>
    <t xml:space="preserve">StandbyTemp_C</t>
  </si>
  <si>
    <t xml:space="preserve">ChamberTemp_C</t>
  </si>
  <si>
    <t xml:space="preserve">PrintTemp_C</t>
  </si>
  <si>
    <t xml:space="preserve">BedTemp_C</t>
  </si>
  <si>
    <t xml:space="preserve">RetractionDist_mm</t>
  </si>
  <si>
    <t xml:space="preserve">RetractionSpeed_mms</t>
  </si>
  <si>
    <t xml:space="preserve">FlowRatio_pct</t>
  </si>
  <si>
    <t xml:space="preserve">MaxVolumetricSpeed_mm3s</t>
  </si>
  <si>
    <t xml:space="preserve">FanSpeed_pct</t>
  </si>
  <si>
    <t xml:space="preserve">Density_gcc</t>
  </si>
  <si>
    <t xml:space="preserve">RequiresHardenedNozzle</t>
  </si>
  <si>
    <t xml:space="preserve">Vendor</t>
  </si>
  <si>
    <t xml:space="preserve">Notes</t>
  </si>
  <si>
    <t xml:space="preserve">FELIX Premium PLA Hardened Steel</t>
  </si>
  <si>
    <t xml:space="preserve">fdm_filament_pla</t>
  </si>
  <si>
    <t xml:space="preserve">FELIX Pro 3 0.25mm nozzle, FELIX Pro L 3.0 0.25mm nozzle, FELIX Pro XL 3.0 0.25mm nozzle, FELIX Tec 4 0.25mm nozzle</t>
  </si>
  <si>
    <t xml:space="preserve">TRUE</t>
  </si>
  <si>
    <t xml:space="preserve">FELIX Printers</t>
  </si>
  <si>
    <t xml:space="preserve">FELIX Pro 3 0.35mm nozzle, FELIX Pro L 3.0 0.35mm nozzle, FELIX Pro XL 3.0 0.35mm nozzle, FELIX Tec 4 0.35mm nozzle</t>
  </si>
  <si>
    <t xml:space="preserve">FELIX Pro 3 0.50mm nozzle, FELIX Pro L 3.0 0.50mm nozzle, FELIX Pro XL 3.0 0.50mm nozzle, FELIX Tec 4 0.50mm nozzle</t>
  </si>
  <si>
    <t xml:space="preserve">FELIX Pro 3 0.70mm nozzle, FELIX Pro L 3.0 0.70mm nozzle, FELIX Pro XL 3.0 0.70mm nozzle, FELIX Tec 4 0.70mm nozzle</t>
  </si>
  <si>
    <t xml:space="preserve">FELIX Premium PLA Brass</t>
  </si>
  <si>
    <t xml:space="preserve">FALSE</t>
  </si>
  <si>
    <t xml:space="preserve">FELIX PETG Hardened Steel</t>
  </si>
  <si>
    <t xml:space="preserve">fdm_filament_pet</t>
  </si>
  <si>
    <t xml:space="preserve">FELIX PETG Brass</t>
  </si>
  <si>
    <t xml:space="preserve">FELIX FLEX Hardened Steel</t>
  </si>
  <si>
    <t xml:space="preserve">fdm_filament_flex</t>
  </si>
  <si>
    <t xml:space="preserve">FELIX FLEX  Brass</t>
  </si>
  <si>
    <t xml:space="preserve">FELIX Wood Hardened Steel</t>
  </si>
  <si>
    <t xml:space="preserve">FELIX Wood  Brass</t>
  </si>
  <si>
    <t xml:space="preserve">FELIX Wood Brass</t>
  </si>
  <si>
    <t xml:space="preserve">FORMFUTURA AppoloX ASA Hardened Steel</t>
  </si>
  <si>
    <t xml:space="preserve">fdm_filament_asa</t>
  </si>
  <si>
    <t xml:space="preserve">FORMFUTURA</t>
  </si>
  <si>
    <t xml:space="preserve">FORMFUTURA AppoloX ASA Brass</t>
  </si>
  <si>
    <t xml:space="preserve">FORMFUTURA Aquasolve PVA Hardened Steel</t>
  </si>
  <si>
    <t xml:space="preserve">fdm_filament_pva</t>
  </si>
  <si>
    <t xml:space="preserve">FORMFUTURA Aquasolve PVA Brass</t>
  </si>
  <si>
    <t xml:space="preserve">FORMFUTURA ePLA Hardened Steel</t>
  </si>
  <si>
    <t xml:space="preserve">FORMFUTURA ePLA Brass</t>
  </si>
  <si>
    <t xml:space="preserve">FORMFUTURA TitanX ABS Hardened Steel</t>
  </si>
  <si>
    <t xml:space="preserve">fdm_filament_abs</t>
  </si>
  <si>
    <t xml:space="preserve">FORMFUTURA TitanX ABS Brass</t>
  </si>
  <si>
    <t xml:space="preserve">Ultrafuse ABS Fusion+ Hardened Steel</t>
  </si>
  <si>
    <t xml:space="preserve">Ultrafuse</t>
  </si>
  <si>
    <t xml:space="preserve">Ultrafuse ABS Fusion+ Brass</t>
  </si>
  <si>
    <t xml:space="preserve">SyringeType</t>
  </si>
  <si>
    <t xml:space="preserve">Flow ratio</t>
  </si>
  <si>
    <t xml:space="preserve">ExtraRestartDist_mm</t>
  </si>
  <si>
    <t xml:space="preserve">ToolchangeRetraction_mm</t>
  </si>
  <si>
    <t xml:space="preserve">FilamentDiameter_mm</t>
  </si>
  <si>
    <t xml:space="preserve">ToolchangeRestart_mm</t>
  </si>
  <si>
    <t xml:space="preserve">WipeDist_mm</t>
  </si>
  <si>
    <t xml:space="preserve">Volumetric speed</t>
  </si>
  <si>
    <t xml:space="preserve">Medium</t>
  </si>
  <si>
    <t xml:space="preserve">Plastic</t>
  </si>
  <si>
    <t xml:space="preserve">fdm_filament_food</t>
  </si>
  <si>
    <t xml:space="preserve">FELIX Food Single 0.50mm nozzle, FELIX Food Double 0.50mm nozzle, FELIX Food Switch 0.50mm nozzle</t>
  </si>
  <si>
    <t xml:space="preserve">FELIX Food Single 1.00mm nozzle, FELIX Food Double 1.00mm nozzle, FELIX Food Switch 1.00mm nozzle</t>
  </si>
  <si>
    <t xml:space="preserve">FELIX Food Single 2.00mm nozzle, FELIX Food Double 2.00mm nozzle, FELIX Food Switch 2.00mm nozzle</t>
  </si>
  <si>
    <t xml:space="preserve">FELIX Food Single 3.00mm nozzle, FELIX Food Double 3.00mm nozzle, FELIX Food Switch 3.00mm nozzle</t>
  </si>
  <si>
    <t xml:space="preserve">FELIX Food Single 4.00mm nozzle, FELIX Food Double 4.00mm nozzle, FELIX Food Switch 4.00mm nozzle</t>
  </si>
  <si>
    <t xml:space="preserve">Thin</t>
  </si>
  <si>
    <t xml:space="preserve">Very Thin</t>
  </si>
  <si>
    <t xml:space="preserve">Very Thick</t>
  </si>
  <si>
    <t xml:space="preserve">Stainless Steel</t>
  </si>
  <si>
    <t xml:space="preserve">Thick</t>
  </si>
  <si>
    <t xml:space="preserve">Preset</t>
  </si>
  <si>
    <t xml:space="preserve">Quality</t>
  </si>
  <si>
    <t xml:space="preserve">LayerHeight_mm</t>
  </si>
  <si>
    <t xml:space="preserve">FirstLayerHeight_mm</t>
  </si>
  <si>
    <t xml:space="preserve">LineWidth_mm</t>
  </si>
  <si>
    <t xml:space="preserve">ShellLayers</t>
  </si>
  <si>
    <t xml:space="preserve">SupportZ_mm</t>
  </si>
  <si>
    <t xml:space="preserve">InfillSpeed_mms</t>
  </si>
  <si>
    <t xml:space="preserve">WallSpeed_mms</t>
  </si>
  <si>
    <t xml:space="preserve">FELIX Food</t>
  </si>
  <si>
    <t xml:space="preserve">Fine</t>
  </si>
  <si>
    <t xml:space="preserve">fdm_process_felix_food_common</t>
  </si>
  <si>
    <t xml:space="preserve">Normal</t>
  </si>
  <si>
    <t xml:space="preserve">Coarse</t>
  </si>
  <si>
    <t xml:space="preserve">FELIX Plastic</t>
  </si>
  <si>
    <t xml:space="preserve">Super Fine</t>
  </si>
  <si>
    <t xml:space="preserve">fdm_process_felix_plastic_common</t>
  </si>
  <si>
    <t xml:space="preserve">Very Fine</t>
  </si>
  <si>
    <t xml:space="preserve">Slightly Coarse</t>
  </si>
  <si>
    <t xml:space="preserve">Very Coarse</t>
  </si>
  <si>
    <t xml:space="preserve">Super Coarse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</si>
</sst>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@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465A4"/>
      </patternFill>
    </fill>
    <fill>
      <patternFill patternType="solid">
        <fgColor rgb="FF3465A4"/>
        <bgColor rgb="FF1F4E78"/>
      </patternFill>
    </fill>
    <fill>
      <patternFill patternType="solid">
        <fgColor rgb="FF5983B0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M1" colorId="64" zoomScale="90" zoomScaleNormal="90" zoomScalePageLayoutView="100" workbookViewId="0">
      <pane xSplit="0" ySplit="1" topLeftCell="A8" activePane="bottomLeft" state="frozen"/>
      <selection pane="topLeft" activeCell="M1" activeCellId="0" sqref="M1"/>
      <selection pane="bottomLeft" activeCell="M19" activeCellId="0" sqref="M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10.57"/>
    <col collapsed="false" customWidth="true" hidden="false" outlineLevel="0" max="7" min="7" style="1" width="10.76"/>
    <col collapsed="false" customWidth="true" hidden="false" outlineLevel="0" max="8" min="8" style="1" width="34.5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1.7"/>
    <col collapsed="false" customWidth="true" hidden="false" outlineLevel="0" max="12" min="12" style="1" width="47.46"/>
    <col collapsed="false" customWidth="true" hidden="false" outlineLevel="0" max="13" min="13" style="1" width="59.9"/>
    <col collapsed="false" customWidth="true" hidden="false" outlineLevel="0" max="14" min="14" style="1" width="46"/>
    <col collapsed="false" customWidth="true" hidden="false" outlineLevel="0" max="15" min="15" style="1" width="55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</row>
    <row r="2" customFormat="false" ht="15" hidden="false" customHeight="false" outlineLevel="0" collapsed="false">
      <c r="A2" s="4" t="s">
        <v>14</v>
      </c>
      <c r="B2" s="5" t="n">
        <v>0.25</v>
      </c>
      <c r="C2" s="6" t="b">
        <f aca="false">TRUE()</f>
        <v>1</v>
      </c>
      <c r="D2" s="6" t="n">
        <v>0.25</v>
      </c>
      <c r="E2" s="6" t="n">
        <v>0.25</v>
      </c>
      <c r="F2" s="5" t="n">
        <v>0.05</v>
      </c>
      <c r="G2" s="5" t="n">
        <v>0.2</v>
      </c>
      <c r="H2" s="6" t="s">
        <v>15</v>
      </c>
      <c r="I2" s="6" t="s">
        <v>16</v>
      </c>
      <c r="J2" s="6" t="s">
        <v>17</v>
      </c>
      <c r="K2" s="6" t="s">
        <v>18</v>
      </c>
      <c r="L2" s="6" t="str">
        <f aca="false">"FELIX Plastic Normal @ "&amp;TEXT(B2,"0.00")&amp;"mm"</f>
        <v>FELIX Plastic Normal @ 0.25mm</v>
      </c>
      <c r="M2" s="6" t="str">
        <f aca="false">"FELIX Premium PLA Hardened Steel @ " &amp;TEXT(B2,"0.00")&amp;"mm"</f>
        <v>FELIX Premium PLA Hardened Steel @ 0.25mm</v>
      </c>
      <c r="N2" s="7" t="str">
        <f aca="false">A2&amp;" "&amp;TEXT(B2,"0.00")&amp;"mm nozzle.json"</f>
        <v>FELIX Pro 3 0.25mm nozzle.json</v>
      </c>
      <c r="O2" s="4"/>
    </row>
    <row r="3" customFormat="false" ht="15" hidden="false" customHeight="false" outlineLevel="0" collapsed="false">
      <c r="A3" s="4" t="s">
        <v>14</v>
      </c>
      <c r="B3" s="5" t="n">
        <v>0.35</v>
      </c>
      <c r="C3" s="6" t="b">
        <f aca="false">TRUE()</f>
        <v>1</v>
      </c>
      <c r="D3" s="6" t="n">
        <v>0.35</v>
      </c>
      <c r="E3" s="6" t="n">
        <v>0.35</v>
      </c>
      <c r="F3" s="5" t="n">
        <v>0.05</v>
      </c>
      <c r="G3" s="5" t="n">
        <v>0.3</v>
      </c>
      <c r="H3" s="6" t="s">
        <v>15</v>
      </c>
      <c r="I3" s="6" t="s">
        <v>19</v>
      </c>
      <c r="J3" s="6" t="s">
        <v>17</v>
      </c>
      <c r="K3" s="6" t="s">
        <v>18</v>
      </c>
      <c r="L3" s="6" t="str">
        <f aca="false">"FELIX Plastic Normal @ "&amp;TEXT(B3,"0.00")&amp;"mm"</f>
        <v>FELIX Plastic Normal @ 0.35mm</v>
      </c>
      <c r="M3" s="6" t="str">
        <f aca="false">"FELIX Premium PLA Hardened Steel @ " &amp;TEXT(B3,"0.00")&amp;"mm"</f>
        <v>FELIX Premium PLA Hardened Steel @ 0.35mm</v>
      </c>
      <c r="N3" s="7" t="str">
        <f aca="false">A3&amp;" "&amp;TEXT(B3,"0.00")&amp;"mm nozzle.json"</f>
        <v>FELIX Pro 3 0.35mm nozzle.json</v>
      </c>
      <c r="O3" s="4"/>
    </row>
    <row r="4" customFormat="false" ht="15" hidden="false" customHeight="false" outlineLevel="0" collapsed="false">
      <c r="A4" s="4" t="s">
        <v>14</v>
      </c>
      <c r="B4" s="5" t="n">
        <v>0.5</v>
      </c>
      <c r="C4" s="6" t="b">
        <f aca="false">TRUE()</f>
        <v>1</v>
      </c>
      <c r="D4" s="6" t="n">
        <v>0.5</v>
      </c>
      <c r="E4" s="6" t="n">
        <v>0.5</v>
      </c>
      <c r="F4" s="5" t="n">
        <v>0.1</v>
      </c>
      <c r="G4" s="5" t="n">
        <v>0.4</v>
      </c>
      <c r="H4" s="6" t="s">
        <v>15</v>
      </c>
      <c r="I4" s="6" t="s">
        <v>20</v>
      </c>
      <c r="J4" s="6" t="s">
        <v>17</v>
      </c>
      <c r="K4" s="6" t="s">
        <v>18</v>
      </c>
      <c r="L4" s="6" t="str">
        <f aca="false">"FELIX Plastic Normal @ "&amp;TEXT(B4,"0.00")&amp;"mm"</f>
        <v>FELIX Plastic Normal @ 0.50mm</v>
      </c>
      <c r="M4" s="6" t="str">
        <f aca="false">"FELIX Premium PLA Hardened Steel @ " &amp;TEXT(B4,"0.00")&amp;"mm"</f>
        <v>FELIX Premium PLA Hardened Steel @ 0.50mm</v>
      </c>
      <c r="N4" s="7" t="str">
        <f aca="false">A4&amp;" "&amp;TEXT(B4,"0.00")&amp;"mm nozzle.json"</f>
        <v>FELIX Pro 3 0.50mm nozzle.json</v>
      </c>
      <c r="O4" s="4"/>
    </row>
    <row r="5" customFormat="false" ht="15" hidden="false" customHeight="false" outlineLevel="0" collapsed="false">
      <c r="A5" s="4" t="s">
        <v>14</v>
      </c>
      <c r="B5" s="5" t="n">
        <v>0.7</v>
      </c>
      <c r="C5" s="6" t="b">
        <f aca="false">TRUE()</f>
        <v>1</v>
      </c>
      <c r="D5" s="6" t="n">
        <v>0.7</v>
      </c>
      <c r="E5" s="6" t="n">
        <v>0.7</v>
      </c>
      <c r="F5" s="5" t="n">
        <v>0.15</v>
      </c>
      <c r="G5" s="5" t="n">
        <v>0.5</v>
      </c>
      <c r="H5" s="6" t="s">
        <v>15</v>
      </c>
      <c r="I5" s="6" t="s">
        <v>21</v>
      </c>
      <c r="J5" s="6" t="s">
        <v>17</v>
      </c>
      <c r="K5" s="6" t="s">
        <v>18</v>
      </c>
      <c r="L5" s="6" t="str">
        <f aca="false">"FELIX Plastic Normal @ "&amp;TEXT(B5,"0.00")&amp;"mm"</f>
        <v>FELIX Plastic Normal @ 0.70mm</v>
      </c>
      <c r="M5" s="6" t="str">
        <f aca="false">"FELIX Premium PLA Hardened Steel @ " &amp;TEXT(B5,"0.00")&amp;"mm"</f>
        <v>FELIX Premium PLA Hardened Steel @ 0.70mm</v>
      </c>
      <c r="N5" s="7" t="str">
        <f aca="false">A5&amp;" "&amp;TEXT(B5,"0.00")&amp;"mm nozzle.json"</f>
        <v>FELIX Pro 3 0.70mm nozzle.json</v>
      </c>
      <c r="O5" s="4"/>
    </row>
    <row r="6" customFormat="false" ht="15" hidden="false" customHeight="false" outlineLevel="0" collapsed="false">
      <c r="A6" s="4" t="s">
        <v>22</v>
      </c>
      <c r="B6" s="5" t="n">
        <v>0.25</v>
      </c>
      <c r="C6" s="6" t="b">
        <f aca="false">TRUE()</f>
        <v>1</v>
      </c>
      <c r="D6" s="6" t="n">
        <v>0.25</v>
      </c>
      <c r="E6" s="6" t="n">
        <v>0.25</v>
      </c>
      <c r="F6" s="5" t="n">
        <v>0.05</v>
      </c>
      <c r="G6" s="5" t="n">
        <v>0.2</v>
      </c>
      <c r="H6" s="6" t="s">
        <v>23</v>
      </c>
      <c r="I6" s="6" t="s">
        <v>16</v>
      </c>
      <c r="J6" s="6" t="s">
        <v>17</v>
      </c>
      <c r="K6" s="6" t="s">
        <v>18</v>
      </c>
      <c r="L6" s="6" t="str">
        <f aca="false">"FELIX Plastic Normal @ "&amp;TEXT(B6,"0.00")&amp;"mm"</f>
        <v>FELIX Plastic Normal @ 0.25mm</v>
      </c>
      <c r="M6" s="6" t="str">
        <f aca="false">"FELIX Premium PLA Hardened Steel @ " &amp;TEXT(B6,"0.00")&amp;"mm"</f>
        <v>FELIX Premium PLA Hardened Steel @ 0.25mm</v>
      </c>
      <c r="N6" s="7" t="str">
        <f aca="false">A6&amp;" "&amp;TEXT(B6,"0.00")&amp;"mm nozzle.json"</f>
        <v>FELIX Pro L 3.0 0.25mm nozzle.json</v>
      </c>
      <c r="O6" s="4"/>
    </row>
    <row r="7" customFormat="false" ht="15" hidden="false" customHeight="false" outlineLevel="0" collapsed="false">
      <c r="A7" s="4" t="s">
        <v>22</v>
      </c>
      <c r="B7" s="5" t="n">
        <v>0.35</v>
      </c>
      <c r="C7" s="6" t="b">
        <f aca="false">TRUE()</f>
        <v>1</v>
      </c>
      <c r="D7" s="6" t="n">
        <v>0.35</v>
      </c>
      <c r="E7" s="6" t="n">
        <v>0.35</v>
      </c>
      <c r="F7" s="5" t="n">
        <v>0.05</v>
      </c>
      <c r="G7" s="5" t="n">
        <v>0.3</v>
      </c>
      <c r="H7" s="6" t="s">
        <v>23</v>
      </c>
      <c r="I7" s="6" t="s">
        <v>19</v>
      </c>
      <c r="J7" s="6" t="s">
        <v>17</v>
      </c>
      <c r="K7" s="6" t="s">
        <v>18</v>
      </c>
      <c r="L7" s="6" t="str">
        <f aca="false">"FELIX Plastic Normal @ "&amp;TEXT(B7,"0.00")&amp;"mm"</f>
        <v>FELIX Plastic Normal @ 0.35mm</v>
      </c>
      <c r="M7" s="6" t="str">
        <f aca="false">"FELIX Premium PLA Hardened Steel @ " &amp;TEXT(B7,"0.00")&amp;"mm"</f>
        <v>FELIX Premium PLA Hardened Steel @ 0.35mm</v>
      </c>
      <c r="N7" s="7" t="str">
        <f aca="false">A7&amp;" "&amp;TEXT(B7,"0.00")&amp;"mm nozzle.json"</f>
        <v>FELIX Pro L 3.0 0.35mm nozzle.json</v>
      </c>
      <c r="O7" s="4"/>
    </row>
    <row r="8" customFormat="false" ht="15" hidden="false" customHeight="false" outlineLevel="0" collapsed="false">
      <c r="A8" s="4" t="s">
        <v>22</v>
      </c>
      <c r="B8" s="5" t="n">
        <v>0.5</v>
      </c>
      <c r="C8" s="6" t="b">
        <f aca="false">TRUE()</f>
        <v>1</v>
      </c>
      <c r="D8" s="6" t="n">
        <v>0.5</v>
      </c>
      <c r="E8" s="6" t="n">
        <v>0.5</v>
      </c>
      <c r="F8" s="5" t="n">
        <v>0.1</v>
      </c>
      <c r="G8" s="5" t="n">
        <v>0.4</v>
      </c>
      <c r="H8" s="6" t="s">
        <v>23</v>
      </c>
      <c r="I8" s="6" t="s">
        <v>20</v>
      </c>
      <c r="J8" s="6" t="s">
        <v>17</v>
      </c>
      <c r="K8" s="6" t="s">
        <v>18</v>
      </c>
      <c r="L8" s="6" t="str">
        <f aca="false">"FELIX Plastic Normal @ "&amp;TEXT(B8,"0.00")&amp;"mm"</f>
        <v>FELIX Plastic Normal @ 0.50mm</v>
      </c>
      <c r="M8" s="6" t="str">
        <f aca="false">"FELIX Premium PLA Hardened Steel @ " &amp;TEXT(B8,"0.00")&amp;"mm"</f>
        <v>FELIX Premium PLA Hardened Steel @ 0.50mm</v>
      </c>
      <c r="N8" s="7" t="str">
        <f aca="false">A8&amp;" "&amp;TEXT(B8,"0.00")&amp;"mm nozzle.json"</f>
        <v>FELIX Pro L 3.0 0.50mm nozzle.json</v>
      </c>
      <c r="O8" s="4"/>
    </row>
    <row r="9" customFormat="false" ht="15" hidden="false" customHeight="false" outlineLevel="0" collapsed="false">
      <c r="A9" s="4" t="s">
        <v>22</v>
      </c>
      <c r="B9" s="5" t="n">
        <v>0.7</v>
      </c>
      <c r="C9" s="6" t="b">
        <f aca="false">TRUE()</f>
        <v>1</v>
      </c>
      <c r="D9" s="6" t="n">
        <v>0.7</v>
      </c>
      <c r="E9" s="6" t="n">
        <v>0.7</v>
      </c>
      <c r="F9" s="5" t="n">
        <v>0.15</v>
      </c>
      <c r="G9" s="5" t="n">
        <v>0.5</v>
      </c>
      <c r="H9" s="6" t="s">
        <v>23</v>
      </c>
      <c r="I9" s="6" t="s">
        <v>21</v>
      </c>
      <c r="J9" s="6" t="s">
        <v>17</v>
      </c>
      <c r="K9" s="6" t="s">
        <v>18</v>
      </c>
      <c r="L9" s="6" t="str">
        <f aca="false">"FELIX Plastic Normal @ "&amp;TEXT(B9,"0.00")&amp;"mm"</f>
        <v>FELIX Plastic Normal @ 0.70mm</v>
      </c>
      <c r="M9" s="6" t="str">
        <f aca="false">"FELIX Premium PLA Hardened Steel @ " &amp;TEXT(B9,"0.00")&amp;"mm"</f>
        <v>FELIX Premium PLA Hardened Steel @ 0.70mm</v>
      </c>
      <c r="N9" s="7" t="str">
        <f aca="false">A9&amp;" "&amp;TEXT(B9,"0.00")&amp;"mm nozzle.json"</f>
        <v>FELIX Pro L 3.0 0.70mm nozzle.json</v>
      </c>
      <c r="O9" s="4"/>
    </row>
    <row r="10" customFormat="false" ht="15" hidden="false" customHeight="false" outlineLevel="0" collapsed="false">
      <c r="A10" s="4" t="s">
        <v>24</v>
      </c>
      <c r="B10" s="5" t="n">
        <v>0.25</v>
      </c>
      <c r="C10" s="6" t="b">
        <f aca="false">TRUE()</f>
        <v>1</v>
      </c>
      <c r="D10" s="6" t="n">
        <v>0.25</v>
      </c>
      <c r="E10" s="6" t="n">
        <v>0.25</v>
      </c>
      <c r="F10" s="5" t="n">
        <v>0.05</v>
      </c>
      <c r="G10" s="5" t="n">
        <v>0.2</v>
      </c>
      <c r="H10" s="6" t="s">
        <v>25</v>
      </c>
      <c r="I10" s="6" t="s">
        <v>16</v>
      </c>
      <c r="J10" s="6" t="s">
        <v>17</v>
      </c>
      <c r="K10" s="6" t="s">
        <v>18</v>
      </c>
      <c r="L10" s="6" t="str">
        <f aca="false">"FELIX Plastic Normal @ "&amp;TEXT(B10,"0.00")&amp;"mm"</f>
        <v>FELIX Plastic Normal @ 0.25mm</v>
      </c>
      <c r="M10" s="6" t="str">
        <f aca="false">"FELIX Premium PLA Hardened Steel @ " &amp;TEXT(B10,"0.00")&amp;"mm"</f>
        <v>FELIX Premium PLA Hardened Steel @ 0.25mm</v>
      </c>
      <c r="N10" s="7" t="str">
        <f aca="false">A10&amp;" "&amp;TEXT(B10,"0.00")&amp;"mm nozzle.json"</f>
        <v>FELIX Pro XL 3.0 0.25mm nozzle.json</v>
      </c>
      <c r="O10" s="4"/>
    </row>
    <row r="11" customFormat="false" ht="15" hidden="false" customHeight="false" outlineLevel="0" collapsed="false">
      <c r="A11" s="4" t="s">
        <v>24</v>
      </c>
      <c r="B11" s="5" t="n">
        <v>0.35</v>
      </c>
      <c r="C11" s="6" t="b">
        <f aca="false">TRUE()</f>
        <v>1</v>
      </c>
      <c r="D11" s="6" t="n">
        <v>0.35</v>
      </c>
      <c r="E11" s="6" t="n">
        <v>0.35</v>
      </c>
      <c r="F11" s="5" t="n">
        <v>0.05</v>
      </c>
      <c r="G11" s="5" t="n">
        <v>0.3</v>
      </c>
      <c r="H11" s="6" t="s">
        <v>25</v>
      </c>
      <c r="I11" s="6" t="s">
        <v>19</v>
      </c>
      <c r="J11" s="6" t="s">
        <v>17</v>
      </c>
      <c r="K11" s="6" t="s">
        <v>18</v>
      </c>
      <c r="L11" s="6" t="str">
        <f aca="false">"FELIX Plastic Normal @ "&amp;TEXT(B11,"0.00")&amp;"mm"</f>
        <v>FELIX Plastic Normal @ 0.35mm</v>
      </c>
      <c r="M11" s="6" t="str">
        <f aca="false">"FELIX Premium PLA Hardened Steel @ " &amp;TEXT(B11,"0.00")&amp;"mm"</f>
        <v>FELIX Premium PLA Hardened Steel @ 0.35mm</v>
      </c>
      <c r="N11" s="7" t="str">
        <f aca="false">A11&amp;" "&amp;TEXT(B11,"0.00")&amp;"mm nozzle.json"</f>
        <v>FELIX Pro XL 3.0 0.35mm nozzle.json</v>
      </c>
      <c r="O11" s="4"/>
    </row>
    <row r="12" customFormat="false" ht="15" hidden="false" customHeight="false" outlineLevel="0" collapsed="false">
      <c r="A12" s="4" t="s">
        <v>24</v>
      </c>
      <c r="B12" s="5" t="n">
        <v>0.5</v>
      </c>
      <c r="C12" s="6" t="b">
        <f aca="false">TRUE()</f>
        <v>1</v>
      </c>
      <c r="D12" s="6" t="n">
        <v>0.5</v>
      </c>
      <c r="E12" s="6" t="n">
        <v>0.5</v>
      </c>
      <c r="F12" s="5" t="n">
        <v>0.1</v>
      </c>
      <c r="G12" s="5" t="n">
        <v>0.4</v>
      </c>
      <c r="H12" s="6" t="s">
        <v>25</v>
      </c>
      <c r="I12" s="6" t="s">
        <v>20</v>
      </c>
      <c r="J12" s="6" t="s">
        <v>17</v>
      </c>
      <c r="K12" s="6" t="s">
        <v>18</v>
      </c>
      <c r="L12" s="6" t="str">
        <f aca="false">"FELIX Plastic Normal @ "&amp;TEXT(B12,"0.00")&amp;"mm"</f>
        <v>FELIX Plastic Normal @ 0.50mm</v>
      </c>
      <c r="M12" s="6" t="str">
        <f aca="false">"FELIX Premium PLA Hardened Steel @ " &amp;TEXT(B12,"0.00")&amp;"mm"</f>
        <v>FELIX Premium PLA Hardened Steel @ 0.50mm</v>
      </c>
      <c r="N12" s="7" t="str">
        <f aca="false">A12&amp;" "&amp;TEXT(B12,"0.00")&amp;"mm nozzle.json"</f>
        <v>FELIX Pro XL 3.0 0.50mm nozzle.json</v>
      </c>
      <c r="O12" s="4"/>
    </row>
    <row r="13" customFormat="false" ht="15" hidden="false" customHeight="false" outlineLevel="0" collapsed="false">
      <c r="A13" s="4" t="s">
        <v>24</v>
      </c>
      <c r="B13" s="5" t="n">
        <v>0.7</v>
      </c>
      <c r="C13" s="6" t="b">
        <f aca="false">TRUE()</f>
        <v>1</v>
      </c>
      <c r="D13" s="6" t="n">
        <v>0.7</v>
      </c>
      <c r="E13" s="6" t="n">
        <v>0.7</v>
      </c>
      <c r="F13" s="5" t="n">
        <v>0.15</v>
      </c>
      <c r="G13" s="5" t="n">
        <v>0.5</v>
      </c>
      <c r="H13" s="6" t="s">
        <v>25</v>
      </c>
      <c r="I13" s="6" t="s">
        <v>21</v>
      </c>
      <c r="J13" s="6" t="s">
        <v>17</v>
      </c>
      <c r="K13" s="6" t="s">
        <v>18</v>
      </c>
      <c r="L13" s="6" t="str">
        <f aca="false">"FELIX Plastic Normal @ "&amp;TEXT(B13,"0.00")&amp;"mm"</f>
        <v>FELIX Plastic Normal @ 0.70mm</v>
      </c>
      <c r="M13" s="6" t="str">
        <f aca="false">"FELIX Premium PLA Hardened Steel @ " &amp;TEXT(B13,"0.00")&amp;"mm"</f>
        <v>FELIX Premium PLA Hardened Steel @ 0.70mm</v>
      </c>
      <c r="N13" s="7" t="str">
        <f aca="false">A13&amp;" "&amp;TEXT(B13,"0.00")&amp;"mm nozzle.json"</f>
        <v>FELIX Pro XL 3.0 0.70mm nozzle.json</v>
      </c>
      <c r="O13" s="4"/>
    </row>
    <row r="14" customFormat="false" ht="15" hidden="false" customHeight="false" outlineLevel="0" collapsed="false">
      <c r="A14" s="4" t="s">
        <v>26</v>
      </c>
      <c r="B14" s="5" t="n">
        <v>0.25</v>
      </c>
      <c r="C14" s="6" t="b">
        <f aca="false">TRUE()</f>
        <v>1</v>
      </c>
      <c r="D14" s="6" t="n">
        <v>0.25</v>
      </c>
      <c r="E14" s="6" t="n">
        <v>0.25</v>
      </c>
      <c r="F14" s="5" t="n">
        <v>0.05</v>
      </c>
      <c r="G14" s="5" t="n">
        <v>0.2</v>
      </c>
      <c r="H14" s="6" t="s">
        <v>27</v>
      </c>
      <c r="I14" s="6" t="s">
        <v>16</v>
      </c>
      <c r="J14" s="6" t="s">
        <v>17</v>
      </c>
      <c r="K14" s="6" t="s">
        <v>18</v>
      </c>
      <c r="L14" s="6" t="str">
        <f aca="false">"FELIX Plastic Normal @ "&amp;TEXT(B14,"0.00")&amp;"mm"</f>
        <v>FELIX Plastic Normal @ 0.25mm</v>
      </c>
      <c r="M14" s="6" t="str">
        <f aca="false">"FELIX Premium PLA Hardened Steel @ " &amp;TEXT(B14,"0.00")&amp;"mm"</f>
        <v>FELIX Premium PLA Hardened Steel @ 0.25mm</v>
      </c>
      <c r="N14" s="7" t="str">
        <f aca="false">A14&amp;" "&amp;TEXT(B14,"0.00")&amp;"mm nozzle.json"</f>
        <v>FELIX Tec 4 0.25mm nozzle.json</v>
      </c>
      <c r="O14" s="4"/>
    </row>
    <row r="15" customFormat="false" ht="15" hidden="false" customHeight="false" outlineLevel="0" collapsed="false">
      <c r="A15" s="4" t="s">
        <v>26</v>
      </c>
      <c r="B15" s="5" t="n">
        <v>0.35</v>
      </c>
      <c r="C15" s="6" t="b">
        <f aca="false">TRUE()</f>
        <v>1</v>
      </c>
      <c r="D15" s="6" t="n">
        <v>0.35</v>
      </c>
      <c r="E15" s="6" t="n">
        <v>0.35</v>
      </c>
      <c r="F15" s="5" t="n">
        <v>0.05</v>
      </c>
      <c r="G15" s="5" t="n">
        <v>0.3</v>
      </c>
      <c r="H15" s="6" t="s">
        <v>27</v>
      </c>
      <c r="I15" s="6" t="s">
        <v>19</v>
      </c>
      <c r="J15" s="6" t="s">
        <v>17</v>
      </c>
      <c r="K15" s="6" t="s">
        <v>18</v>
      </c>
      <c r="L15" s="6" t="str">
        <f aca="false">"FELIX Plastic Normal @ "&amp;TEXT(B15,"0.00")&amp;"mm"</f>
        <v>FELIX Plastic Normal @ 0.35mm</v>
      </c>
      <c r="M15" s="6" t="str">
        <f aca="false">"FELIX Premium PLA Hardened Steel @ " &amp;TEXT(B15,"0.00")&amp;"mm"</f>
        <v>FELIX Premium PLA Hardened Steel @ 0.35mm</v>
      </c>
      <c r="N15" s="7" t="str">
        <f aca="false">A15&amp;" "&amp;TEXT(B15,"0.00")&amp;"mm nozzle.json"</f>
        <v>FELIX Tec 4 0.35mm nozzle.json</v>
      </c>
      <c r="O15" s="4"/>
    </row>
    <row r="16" customFormat="false" ht="15" hidden="false" customHeight="false" outlineLevel="0" collapsed="false">
      <c r="A16" s="4" t="s">
        <v>26</v>
      </c>
      <c r="B16" s="5" t="n">
        <v>0.5</v>
      </c>
      <c r="C16" s="6" t="b">
        <f aca="false">TRUE()</f>
        <v>1</v>
      </c>
      <c r="D16" s="6" t="n">
        <v>0.5</v>
      </c>
      <c r="E16" s="6" t="n">
        <v>0.5</v>
      </c>
      <c r="F16" s="5" t="n">
        <v>0.1</v>
      </c>
      <c r="G16" s="5" t="n">
        <v>0.4</v>
      </c>
      <c r="H16" s="6" t="s">
        <v>27</v>
      </c>
      <c r="I16" s="6" t="s">
        <v>20</v>
      </c>
      <c r="J16" s="6" t="s">
        <v>17</v>
      </c>
      <c r="K16" s="6" t="s">
        <v>18</v>
      </c>
      <c r="L16" s="6" t="str">
        <f aca="false">"FELIX Plastic Normal @ "&amp;TEXT(B16,"0.00")&amp;"mm"</f>
        <v>FELIX Plastic Normal @ 0.50mm</v>
      </c>
      <c r="M16" s="6" t="str">
        <f aca="false">"FELIX Premium PLA Hardened Steel @ " &amp;TEXT(B16,"0.00")&amp;"mm"</f>
        <v>FELIX Premium PLA Hardened Steel @ 0.50mm</v>
      </c>
      <c r="N16" s="7" t="str">
        <f aca="false">A16&amp;" "&amp;TEXT(B16,"0.00")&amp;"mm nozzle.json"</f>
        <v>FELIX Tec 4 0.50mm nozzle.json</v>
      </c>
      <c r="O16" s="4"/>
    </row>
    <row r="17" customFormat="false" ht="15" hidden="false" customHeight="false" outlineLevel="0" collapsed="false">
      <c r="A17" s="4" t="s">
        <v>26</v>
      </c>
      <c r="B17" s="5" t="n">
        <v>0.7</v>
      </c>
      <c r="C17" s="6" t="b">
        <f aca="false">TRUE()</f>
        <v>1</v>
      </c>
      <c r="D17" s="6" t="n">
        <v>0.7</v>
      </c>
      <c r="E17" s="6" t="n">
        <v>0.7</v>
      </c>
      <c r="F17" s="5" t="n">
        <v>0.15</v>
      </c>
      <c r="G17" s="5" t="n">
        <v>0.5</v>
      </c>
      <c r="H17" s="6" t="s">
        <v>27</v>
      </c>
      <c r="I17" s="6" t="s">
        <v>21</v>
      </c>
      <c r="J17" s="6" t="s">
        <v>17</v>
      </c>
      <c r="K17" s="6" t="s">
        <v>18</v>
      </c>
      <c r="L17" s="6" t="str">
        <f aca="false">"FELIX Plastic Normal @ "&amp;TEXT(B17,"0.00")&amp;"mm"</f>
        <v>FELIX Plastic Normal @ 0.70mm</v>
      </c>
      <c r="M17" s="6" t="str">
        <f aca="false">"FELIX Premium PLA Hardened Steel @ " &amp;TEXT(B17,"0.00")&amp;"mm"</f>
        <v>FELIX Premium PLA Hardened Steel @ 0.70mm</v>
      </c>
      <c r="N17" s="7" t="str">
        <f aca="false">A17&amp;" "&amp;TEXT(B17,"0.00")&amp;"mm nozzle.json"</f>
        <v>FELIX Tec 4 0.70mm nozzle.json</v>
      </c>
      <c r="O17" s="4"/>
    </row>
    <row r="18" customFormat="false" ht="15" hidden="false" customHeight="false" outlineLevel="0" collapsed="false">
      <c r="A18" s="4" t="s">
        <v>28</v>
      </c>
      <c r="B18" s="5" t="n">
        <v>0.5</v>
      </c>
      <c r="C18" s="6" t="b">
        <f aca="false">FALSE()</f>
        <v>0</v>
      </c>
      <c r="D18" s="6" t="n">
        <v>0.5</v>
      </c>
      <c r="E18" s="6" t="n">
        <v>0.5</v>
      </c>
      <c r="F18" s="5" t="n">
        <v>0.25</v>
      </c>
      <c r="G18" s="5" t="n">
        <v>0.4</v>
      </c>
      <c r="H18" s="6" t="s">
        <v>29</v>
      </c>
      <c r="I18" s="6" t="s">
        <v>30</v>
      </c>
      <c r="J18" s="6"/>
      <c r="K18" s="6" t="s">
        <v>18</v>
      </c>
      <c r="L18" s="6" t="str">
        <f aca="false">"FELIX Food Normal @ "&amp;TEXT(B18,"0.00")&amp;"mm"</f>
        <v>FELIX Food Normal @ 0.50mm</v>
      </c>
      <c r="M18" s="6" t="str">
        <f aca="false">"Food Medium Plastic Syringe @"&amp;TEXT(B18,"0.00")&amp;"mm"</f>
        <v>Food Medium Plastic Syringe @0.50mm</v>
      </c>
      <c r="N18" s="7" t="str">
        <f aca="false">A18&amp;" "&amp;TEXT(B18,"0.00")&amp;"mm nozzle.json"</f>
        <v>FELIX Food Single 0.50mm nozzle.json</v>
      </c>
      <c r="O18" s="4"/>
    </row>
    <row r="19" customFormat="false" ht="15" hidden="false" customHeight="false" outlineLevel="0" collapsed="false">
      <c r="A19" s="4" t="s">
        <v>28</v>
      </c>
      <c r="B19" s="5" t="n">
        <v>1</v>
      </c>
      <c r="C19" s="6" t="b">
        <f aca="false">FALSE()</f>
        <v>0</v>
      </c>
      <c r="D19" s="6" t="n">
        <v>1</v>
      </c>
      <c r="E19" s="6" t="n">
        <v>1</v>
      </c>
      <c r="F19" s="5" t="n">
        <v>0.5</v>
      </c>
      <c r="G19" s="5" t="n">
        <v>0.75</v>
      </c>
      <c r="H19" s="6" t="s">
        <v>29</v>
      </c>
      <c r="I19" s="6" t="s">
        <v>31</v>
      </c>
      <c r="J19" s="6"/>
      <c r="K19" s="6" t="s">
        <v>18</v>
      </c>
      <c r="L19" s="6" t="str">
        <f aca="false">"FELIX Food Normal @ "&amp;TEXT(B19,"0.00")&amp;"mm"</f>
        <v>FELIX Food Normal @ 1.00mm</v>
      </c>
      <c r="M19" s="6" t="str">
        <f aca="false">"Food Medium Plastic Syringe @"&amp;TEXT(B19,"0.00")&amp;"mm"</f>
        <v>Food Medium Plastic Syringe @1.00mm</v>
      </c>
      <c r="N19" s="7" t="str">
        <f aca="false">A19&amp;" "&amp;TEXT(B19,"0.00")&amp;"mm nozzle.json"</f>
        <v>FELIX Food Single 1.00mm nozzle.json</v>
      </c>
      <c r="O19" s="4"/>
    </row>
    <row r="20" customFormat="false" ht="15" hidden="false" customHeight="false" outlineLevel="0" collapsed="false">
      <c r="A20" s="4" t="s">
        <v>28</v>
      </c>
      <c r="B20" s="5" t="n">
        <v>2</v>
      </c>
      <c r="C20" s="6" t="b">
        <f aca="false">FALSE()</f>
        <v>0</v>
      </c>
      <c r="D20" s="6" t="n">
        <v>2</v>
      </c>
      <c r="E20" s="6" t="n">
        <v>2</v>
      </c>
      <c r="F20" s="5" t="n">
        <v>1</v>
      </c>
      <c r="G20" s="5" t="n">
        <v>1.5</v>
      </c>
      <c r="H20" s="6" t="s">
        <v>29</v>
      </c>
      <c r="I20" s="6" t="s">
        <v>32</v>
      </c>
      <c r="J20" s="6"/>
      <c r="K20" s="6" t="s">
        <v>18</v>
      </c>
      <c r="L20" s="6" t="str">
        <f aca="false">"FELIX Food Normal @ "&amp;TEXT(B20,"0.00")&amp;"mm"</f>
        <v>FELIX Food Normal @ 2.00mm</v>
      </c>
      <c r="M20" s="6" t="str">
        <f aca="false">"Food Medium Plastic Syringe @"&amp;TEXT(B20,"0.00")&amp;"mm"</f>
        <v>Food Medium Plastic Syringe @2.00mm</v>
      </c>
      <c r="N20" s="7" t="str">
        <f aca="false">A20&amp;" "&amp;TEXT(B20,"0.00")&amp;"mm nozzle.json"</f>
        <v>FELIX Food Single 2.00mm nozzle.json</v>
      </c>
      <c r="O20" s="4"/>
    </row>
    <row r="21" customFormat="false" ht="15" hidden="false" customHeight="false" outlineLevel="0" collapsed="false">
      <c r="A21" s="4" t="s">
        <v>28</v>
      </c>
      <c r="B21" s="5" t="n">
        <v>3</v>
      </c>
      <c r="C21" s="6" t="b">
        <f aca="false">FALSE()</f>
        <v>0</v>
      </c>
      <c r="D21" s="6" t="n">
        <v>3</v>
      </c>
      <c r="E21" s="6" t="n">
        <v>3</v>
      </c>
      <c r="F21" s="5" t="n">
        <v>1.5</v>
      </c>
      <c r="G21" s="5" t="n">
        <v>2</v>
      </c>
      <c r="H21" s="6" t="s">
        <v>29</v>
      </c>
      <c r="I21" s="6" t="s">
        <v>33</v>
      </c>
      <c r="J21" s="6"/>
      <c r="K21" s="6" t="s">
        <v>18</v>
      </c>
      <c r="L21" s="6" t="str">
        <f aca="false">"FELIX Food Normal @ "&amp;TEXT(B21,"0.00")&amp;"mm"</f>
        <v>FELIX Food Normal @ 3.00mm</v>
      </c>
      <c r="M21" s="6" t="str">
        <f aca="false">"Food Medium Plastic Syringe @"&amp;TEXT(B21,"0.00")&amp;"mm"</f>
        <v>Food Medium Plastic Syringe @3.00mm</v>
      </c>
      <c r="N21" s="7" t="str">
        <f aca="false">A21&amp;" "&amp;TEXT(B21,"0.00")&amp;"mm nozzle.json"</f>
        <v>FELIX Food Single 3.00mm nozzle.json</v>
      </c>
      <c r="O21" s="4"/>
    </row>
    <row r="22" customFormat="false" ht="15" hidden="false" customHeight="false" outlineLevel="0" collapsed="false">
      <c r="A22" s="4" t="s">
        <v>28</v>
      </c>
      <c r="B22" s="5" t="n">
        <v>4</v>
      </c>
      <c r="C22" s="6" t="b">
        <f aca="false">FALSE()</f>
        <v>0</v>
      </c>
      <c r="D22" s="6" t="n">
        <v>4</v>
      </c>
      <c r="E22" s="6" t="n">
        <v>4</v>
      </c>
      <c r="F22" s="5" t="n">
        <v>2</v>
      </c>
      <c r="G22" s="5" t="n">
        <v>3</v>
      </c>
      <c r="H22" s="6" t="s">
        <v>29</v>
      </c>
      <c r="I22" s="6" t="s">
        <v>34</v>
      </c>
      <c r="J22" s="6"/>
      <c r="K22" s="6" t="s">
        <v>18</v>
      </c>
      <c r="L22" s="6" t="str">
        <f aca="false">"FELIX Food Normal @ "&amp;TEXT(B22,"0.00")&amp;"mm"</f>
        <v>FELIX Food Normal @ 4.00mm</v>
      </c>
      <c r="M22" s="6" t="str">
        <f aca="false">"Food Medium Plastic Syringe @"&amp;TEXT(B22,"0.00")&amp;"mm"</f>
        <v>Food Medium Plastic Syringe @4.00mm</v>
      </c>
      <c r="N22" s="7" t="str">
        <f aca="false">A22&amp;" "&amp;TEXT(B22,"0.00")&amp;"mm nozzle.json"</f>
        <v>FELIX Food Single 4.00mm nozzle.json</v>
      </c>
      <c r="O22" s="4"/>
    </row>
    <row r="23" customFormat="false" ht="15" hidden="false" customHeight="false" outlineLevel="0" collapsed="false">
      <c r="A23" s="4" t="s">
        <v>35</v>
      </c>
      <c r="B23" s="5" t="n">
        <v>0.5</v>
      </c>
      <c r="C23" s="6" t="b">
        <f aca="false">TRUE()</f>
        <v>1</v>
      </c>
      <c r="D23" s="6" t="n">
        <v>0.5</v>
      </c>
      <c r="E23" s="6" t="n">
        <v>0.5</v>
      </c>
      <c r="F23" s="5" t="n">
        <v>0.25</v>
      </c>
      <c r="G23" s="5" t="n">
        <v>0.4</v>
      </c>
      <c r="H23" s="6" t="s">
        <v>36</v>
      </c>
      <c r="I23" s="6" t="s">
        <v>30</v>
      </c>
      <c r="J23" s="6" t="s">
        <v>17</v>
      </c>
      <c r="K23" s="6" t="s">
        <v>18</v>
      </c>
      <c r="L23" s="6" t="str">
        <f aca="false">"FELIX Food Normal @ "&amp;TEXT(B23,"0.00")&amp;"mm"</f>
        <v>FELIX Food Normal @ 0.50mm</v>
      </c>
      <c r="M23" s="6" t="str">
        <f aca="false">"Food Medium Plastic Syringe @"&amp;TEXT(B23,"0.00")&amp;"mm"</f>
        <v>Food Medium Plastic Syringe @0.50mm</v>
      </c>
      <c r="N23" s="7" t="str">
        <f aca="false">A23&amp;" "&amp;TEXT(B23,"0.00")&amp;"mm nozzle.json"</f>
        <v>FELIX Food Double 0.50mm nozzle.json</v>
      </c>
      <c r="O23" s="4"/>
    </row>
    <row r="24" customFormat="false" ht="15" hidden="false" customHeight="false" outlineLevel="0" collapsed="false">
      <c r="A24" s="4" t="s">
        <v>35</v>
      </c>
      <c r="B24" s="5" t="n">
        <v>1</v>
      </c>
      <c r="C24" s="6" t="b">
        <f aca="false">TRUE()</f>
        <v>1</v>
      </c>
      <c r="D24" s="6" t="n">
        <v>1</v>
      </c>
      <c r="E24" s="6" t="n">
        <v>1</v>
      </c>
      <c r="F24" s="5" t="n">
        <v>0.5</v>
      </c>
      <c r="G24" s="5" t="n">
        <v>0.75</v>
      </c>
      <c r="H24" s="6" t="s">
        <v>36</v>
      </c>
      <c r="I24" s="6" t="s">
        <v>31</v>
      </c>
      <c r="J24" s="6" t="s">
        <v>17</v>
      </c>
      <c r="K24" s="6" t="s">
        <v>18</v>
      </c>
      <c r="L24" s="6" t="str">
        <f aca="false">"FELIX Food Normal @ "&amp;TEXT(B24,"0.00")&amp;"mm"</f>
        <v>FELIX Food Normal @ 1.00mm</v>
      </c>
      <c r="M24" s="6" t="str">
        <f aca="false">"Food Medium Plastic Syringe @"&amp;TEXT(B24,"0.00")&amp;"mm"</f>
        <v>Food Medium Plastic Syringe @1.00mm</v>
      </c>
      <c r="N24" s="7" t="str">
        <f aca="false">A24&amp;" "&amp;TEXT(B24,"0.00")&amp;"mm nozzle.json"</f>
        <v>FELIX Food Double 1.00mm nozzle.json</v>
      </c>
      <c r="O24" s="4"/>
    </row>
    <row r="25" customFormat="false" ht="15" hidden="false" customHeight="false" outlineLevel="0" collapsed="false">
      <c r="A25" s="4" t="s">
        <v>35</v>
      </c>
      <c r="B25" s="5" t="n">
        <v>2</v>
      </c>
      <c r="C25" s="6" t="b">
        <f aca="false">TRUE()</f>
        <v>1</v>
      </c>
      <c r="D25" s="6" t="n">
        <v>2</v>
      </c>
      <c r="E25" s="6" t="n">
        <v>2</v>
      </c>
      <c r="F25" s="5" t="n">
        <v>1</v>
      </c>
      <c r="G25" s="5" t="n">
        <v>1.5</v>
      </c>
      <c r="H25" s="6" t="s">
        <v>36</v>
      </c>
      <c r="I25" s="6" t="s">
        <v>32</v>
      </c>
      <c r="J25" s="6" t="s">
        <v>17</v>
      </c>
      <c r="K25" s="6" t="s">
        <v>18</v>
      </c>
      <c r="L25" s="6" t="str">
        <f aca="false">"FELIX Food Normal @ "&amp;TEXT(B25,"0.00")&amp;"mm"</f>
        <v>FELIX Food Normal @ 2.00mm</v>
      </c>
      <c r="M25" s="6" t="str">
        <f aca="false">"Food Medium Plastic Syringe @"&amp;TEXT(B25,"0.00")&amp;"mm"</f>
        <v>Food Medium Plastic Syringe @2.00mm</v>
      </c>
      <c r="N25" s="7" t="str">
        <f aca="false">A25&amp;" "&amp;TEXT(B25,"0.00")&amp;"mm nozzle.json"</f>
        <v>FELIX Food Double 2.00mm nozzle.json</v>
      </c>
      <c r="O25" s="4"/>
    </row>
    <row r="26" customFormat="false" ht="15" hidden="false" customHeight="false" outlineLevel="0" collapsed="false">
      <c r="A26" s="4" t="s">
        <v>35</v>
      </c>
      <c r="B26" s="5" t="n">
        <v>3</v>
      </c>
      <c r="C26" s="6" t="b">
        <f aca="false">TRUE()</f>
        <v>1</v>
      </c>
      <c r="D26" s="6" t="n">
        <v>3</v>
      </c>
      <c r="E26" s="6" t="n">
        <v>3</v>
      </c>
      <c r="F26" s="5" t="n">
        <v>1.5</v>
      </c>
      <c r="G26" s="5" t="n">
        <v>2</v>
      </c>
      <c r="H26" s="6" t="s">
        <v>36</v>
      </c>
      <c r="I26" s="6" t="s">
        <v>33</v>
      </c>
      <c r="J26" s="6" t="s">
        <v>17</v>
      </c>
      <c r="K26" s="6" t="s">
        <v>18</v>
      </c>
      <c r="L26" s="6" t="str">
        <f aca="false">"FELIX Food Normal @ "&amp;TEXT(B26,"0.00")&amp;"mm"</f>
        <v>FELIX Food Normal @ 3.00mm</v>
      </c>
      <c r="M26" s="6" t="str">
        <f aca="false">"Food Medium Plastic Syringe @"&amp;TEXT(B26,"0.00")&amp;"mm"</f>
        <v>Food Medium Plastic Syringe @3.00mm</v>
      </c>
      <c r="N26" s="7" t="str">
        <f aca="false">A26&amp;" "&amp;TEXT(B26,"0.00")&amp;"mm nozzle.json"</f>
        <v>FELIX Food Double 3.00mm nozzle.json</v>
      </c>
      <c r="O26" s="4"/>
    </row>
    <row r="27" customFormat="false" ht="15" hidden="false" customHeight="false" outlineLevel="0" collapsed="false">
      <c r="A27" s="4" t="s">
        <v>35</v>
      </c>
      <c r="B27" s="5" t="n">
        <v>4</v>
      </c>
      <c r="C27" s="6" t="b">
        <f aca="false">TRUE()</f>
        <v>1</v>
      </c>
      <c r="D27" s="6" t="n">
        <v>4</v>
      </c>
      <c r="E27" s="6" t="n">
        <v>4</v>
      </c>
      <c r="F27" s="5" t="n">
        <v>2</v>
      </c>
      <c r="G27" s="5" t="n">
        <v>3</v>
      </c>
      <c r="H27" s="6" t="s">
        <v>36</v>
      </c>
      <c r="I27" s="6" t="s">
        <v>34</v>
      </c>
      <c r="J27" s="6" t="s">
        <v>17</v>
      </c>
      <c r="K27" s="6" t="s">
        <v>18</v>
      </c>
      <c r="L27" s="6" t="str">
        <f aca="false">"FELIX Food Normal @ "&amp;TEXT(B27,"0.00")&amp;"mm"</f>
        <v>FELIX Food Normal @ 4.00mm</v>
      </c>
      <c r="M27" s="6" t="str">
        <f aca="false">"Food Medium Plastic Syringe @"&amp;TEXT(B27,"0.00")&amp;"mm"</f>
        <v>Food Medium Plastic Syringe @4.00mm</v>
      </c>
      <c r="N27" s="7" t="str">
        <f aca="false">A27&amp;" "&amp;TEXT(B27,"0.00")&amp;"mm nozzle.json"</f>
        <v>FELIX Food Double 4.00mm nozzle.json</v>
      </c>
      <c r="O27" s="4"/>
    </row>
    <row r="28" customFormat="false" ht="15" hidden="false" customHeight="false" outlineLevel="0" collapsed="false">
      <c r="A28" s="4" t="s">
        <v>37</v>
      </c>
      <c r="B28" s="5" t="n">
        <v>0.5</v>
      </c>
      <c r="C28" s="6" t="b">
        <f aca="false">TRUE()</f>
        <v>1</v>
      </c>
      <c r="D28" s="6" t="n">
        <v>0.5</v>
      </c>
      <c r="E28" s="6" t="n">
        <v>0.5</v>
      </c>
      <c r="F28" s="5" t="n">
        <v>0.25</v>
      </c>
      <c r="G28" s="5" t="n">
        <v>0.4</v>
      </c>
      <c r="H28" s="6" t="s">
        <v>38</v>
      </c>
      <c r="I28" s="6" t="s">
        <v>30</v>
      </c>
      <c r="J28" s="6" t="s">
        <v>17</v>
      </c>
      <c r="K28" s="6" t="s">
        <v>18</v>
      </c>
      <c r="L28" s="6" t="str">
        <f aca="false">"FELIX Food Normal @ "&amp;TEXT(B28,"0.00")&amp;"mm"</f>
        <v>FELIX Food Normal @ 0.50mm</v>
      </c>
      <c r="M28" s="6" t="str">
        <f aca="false">"Food Medium Plastic Syringe @"&amp;TEXT(B28,"0.00")&amp;"mm"</f>
        <v>Food Medium Plastic Syringe @0.50mm</v>
      </c>
      <c r="N28" s="7" t="str">
        <f aca="false">A28&amp;" "&amp;TEXT(B28,"0.00")&amp;"mm nozzle.json"</f>
        <v>FELIX Food Switch 0.50mm nozzle.json</v>
      </c>
      <c r="O28" s="4"/>
    </row>
    <row r="29" customFormat="false" ht="15" hidden="false" customHeight="false" outlineLevel="0" collapsed="false">
      <c r="A29" s="4" t="s">
        <v>37</v>
      </c>
      <c r="B29" s="5" t="n">
        <v>1</v>
      </c>
      <c r="C29" s="6" t="b">
        <f aca="false">TRUE()</f>
        <v>1</v>
      </c>
      <c r="D29" s="6" t="n">
        <v>1</v>
      </c>
      <c r="E29" s="6" t="n">
        <v>1</v>
      </c>
      <c r="F29" s="5" t="n">
        <v>0.5</v>
      </c>
      <c r="G29" s="5" t="n">
        <v>0.75</v>
      </c>
      <c r="H29" s="6" t="s">
        <v>38</v>
      </c>
      <c r="I29" s="6" t="s">
        <v>31</v>
      </c>
      <c r="J29" s="6" t="s">
        <v>17</v>
      </c>
      <c r="K29" s="6" t="s">
        <v>18</v>
      </c>
      <c r="L29" s="6" t="str">
        <f aca="false">"FELIX Food Normal @ "&amp;TEXT(B29,"0.00")&amp;"mm"</f>
        <v>FELIX Food Normal @ 1.00mm</v>
      </c>
      <c r="M29" s="6" t="str">
        <f aca="false">"Food Medium Plastic Syringe @"&amp;TEXT(B29,"0.00")&amp;"mm"</f>
        <v>Food Medium Plastic Syringe @1.00mm</v>
      </c>
      <c r="N29" s="7" t="str">
        <f aca="false">A29&amp;" "&amp;TEXT(B29,"0.00")&amp;"mm nozzle.json"</f>
        <v>FELIX Food Switch 1.00mm nozzle.json</v>
      </c>
      <c r="O29" s="4"/>
    </row>
    <row r="30" customFormat="false" ht="15" hidden="false" customHeight="false" outlineLevel="0" collapsed="false">
      <c r="A30" s="4" t="s">
        <v>37</v>
      </c>
      <c r="B30" s="5" t="n">
        <v>2</v>
      </c>
      <c r="C30" s="6" t="b">
        <f aca="false">TRUE()</f>
        <v>1</v>
      </c>
      <c r="D30" s="6" t="n">
        <v>2</v>
      </c>
      <c r="E30" s="6" t="n">
        <v>2</v>
      </c>
      <c r="F30" s="5" t="n">
        <v>1</v>
      </c>
      <c r="G30" s="5" t="n">
        <v>1.5</v>
      </c>
      <c r="H30" s="6" t="s">
        <v>38</v>
      </c>
      <c r="I30" s="6" t="s">
        <v>32</v>
      </c>
      <c r="J30" s="6" t="s">
        <v>17</v>
      </c>
      <c r="K30" s="6" t="s">
        <v>18</v>
      </c>
      <c r="L30" s="6" t="str">
        <f aca="false">"FELIX Food Normal @ "&amp;TEXT(B30,"0.00")&amp;"mm"</f>
        <v>FELIX Food Normal @ 2.00mm</v>
      </c>
      <c r="M30" s="6" t="str">
        <f aca="false">"Food Medium Plastic Syringe @"&amp;TEXT(B30,"0.00")&amp;"mm"</f>
        <v>Food Medium Plastic Syringe @2.00mm</v>
      </c>
      <c r="N30" s="7" t="str">
        <f aca="false">A30&amp;" "&amp;TEXT(B30,"0.00")&amp;"mm nozzle.json"</f>
        <v>FELIX Food Switch 2.00mm nozzle.json</v>
      </c>
      <c r="O30" s="4"/>
    </row>
    <row r="31" customFormat="false" ht="15" hidden="false" customHeight="false" outlineLevel="0" collapsed="false">
      <c r="A31" s="4" t="s">
        <v>37</v>
      </c>
      <c r="B31" s="5" t="n">
        <v>3</v>
      </c>
      <c r="C31" s="6" t="b">
        <f aca="false">TRUE()</f>
        <v>1</v>
      </c>
      <c r="D31" s="6" t="n">
        <v>3</v>
      </c>
      <c r="E31" s="6" t="n">
        <v>3</v>
      </c>
      <c r="F31" s="5" t="n">
        <v>1.5</v>
      </c>
      <c r="G31" s="5" t="n">
        <v>2</v>
      </c>
      <c r="H31" s="6" t="s">
        <v>38</v>
      </c>
      <c r="I31" s="6" t="s">
        <v>33</v>
      </c>
      <c r="J31" s="6" t="s">
        <v>17</v>
      </c>
      <c r="K31" s="6" t="s">
        <v>18</v>
      </c>
      <c r="L31" s="6" t="str">
        <f aca="false">"FELIX Food Normal @ "&amp;TEXT(B31,"0.00")&amp;"mm"</f>
        <v>FELIX Food Normal @ 3.00mm</v>
      </c>
      <c r="M31" s="6" t="str">
        <f aca="false">"Food Medium Plastic Syringe @"&amp;TEXT(B31,"0.00")&amp;"mm"</f>
        <v>Food Medium Plastic Syringe @3.00mm</v>
      </c>
      <c r="N31" s="7" t="str">
        <f aca="false">A31&amp;" "&amp;TEXT(B31,"0.00")&amp;"mm nozzle.json"</f>
        <v>FELIX Food Switch 3.00mm nozzle.json</v>
      </c>
      <c r="O31" s="4"/>
    </row>
    <row r="32" customFormat="false" ht="15" hidden="false" customHeight="false" outlineLevel="0" collapsed="false">
      <c r="A32" s="4" t="s">
        <v>37</v>
      </c>
      <c r="B32" s="5" t="n">
        <v>4</v>
      </c>
      <c r="C32" s="6" t="b">
        <f aca="false">TRUE()</f>
        <v>1</v>
      </c>
      <c r="D32" s="6" t="n">
        <v>4</v>
      </c>
      <c r="E32" s="6" t="n">
        <v>4</v>
      </c>
      <c r="F32" s="5" t="n">
        <v>2</v>
      </c>
      <c r="G32" s="5" t="n">
        <v>3</v>
      </c>
      <c r="H32" s="6" t="s">
        <v>38</v>
      </c>
      <c r="I32" s="6" t="s">
        <v>34</v>
      </c>
      <c r="J32" s="6" t="s">
        <v>17</v>
      </c>
      <c r="K32" s="6" t="s">
        <v>18</v>
      </c>
      <c r="L32" s="6" t="str">
        <f aca="false">"FELIX Food Normal @ "&amp;TEXT(B32,"0.00")&amp;"mm"</f>
        <v>FELIX Food Normal @ 4.00mm</v>
      </c>
      <c r="M32" s="6" t="str">
        <f aca="false">"Food Medium Plastic Syringe @"&amp;TEXT(B32,"0.00")&amp;"mm"</f>
        <v>Food Medium Plastic Syringe @4.00mm</v>
      </c>
      <c r="N32" s="7" t="str">
        <f aca="false">A32&amp;" "&amp;TEXT(B32,"0.00")&amp;"mm nozzle.json"</f>
        <v>FELIX Food Switch 4.00mm nozzle.json</v>
      </c>
      <c r="O32" s="4"/>
    </row>
    <row r="33" customFormat="false" ht="15" hidden="false" customHeight="false" outlineLevel="0" collapsed="false">
      <c r="O33" s="4"/>
    </row>
    <row r="34" customFormat="false" ht="15" hidden="false" customHeight="false" outlineLevel="0" collapsed="false">
      <c r="O34" s="4"/>
    </row>
    <row r="35" customFormat="false" ht="15" hidden="false" customHeight="false" outlineLevel="0" collapsed="false">
      <c r="O35" s="4"/>
    </row>
    <row r="36" customFormat="false" ht="15" hidden="false" customHeight="false" outlineLevel="0" collapsed="false">
      <c r="O36" s="4"/>
    </row>
    <row r="37" customFormat="false" ht="15" hidden="false" customHeight="false" outlineLevel="0" collapsed="false">
      <c r="O37" s="4"/>
    </row>
    <row r="38" customFormat="false" ht="15" hidden="false" customHeight="false" outlineLevel="0" collapsed="false">
      <c r="O38" s="4"/>
    </row>
    <row r="39" customFormat="false" ht="15" hidden="false" customHeight="false" outlineLevel="0" collapsed="false">
      <c r="O39" s="4"/>
    </row>
    <row r="40" customFormat="false" ht="15" hidden="false" customHeight="false" outlineLevel="0" collapsed="false">
      <c r="O40" s="4"/>
    </row>
    <row r="59" customFormat="false" ht="15" hidden="true" customHeight="false" outlineLevel="0" collapsed="false"/>
    <row r="60" customFormat="false" ht="15" hidden="true" customHeight="false" outlineLevel="0" collapsed="false"/>
    <row r="61" customFormat="false" ht="15" hidden="true" customHeight="false" outlineLevel="0" collapsed="false"/>
    <row r="62" customFormat="false" ht="15" hidden="tru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pane xSplit="0" ySplit="1" topLeftCell="A8" activePane="bottomLeft" state="frozen"/>
      <selection pane="topLeft" activeCell="C1" activeCellId="0" sqref="C1"/>
      <selection pane="bottomLeft" activeCell="R2" activeCellId="0" sqref="R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46.68"/>
    <col collapsed="false" customWidth="true" hidden="false" outlineLevel="0" max="2" min="2" style="1" width="12.81"/>
    <col collapsed="false" customWidth="true" hidden="false" outlineLevel="0" max="3" min="3" style="1" width="23.2"/>
    <col collapsed="false" customWidth="true" hidden="false" outlineLevel="0" max="4" min="4" style="1" width="33.56"/>
    <col collapsed="false" customWidth="true" hidden="false" outlineLevel="0" max="5" min="5" style="1" width="29.97"/>
    <col collapsed="false" customWidth="true" hidden="false" outlineLevel="0" max="6" min="6" style="1" width="14.94"/>
    <col collapsed="false" customWidth="true" hidden="false" outlineLevel="0" max="8" min="7" style="1" width="13.72"/>
    <col collapsed="false" customWidth="true" hidden="false" outlineLevel="0" max="9" min="9" style="1" width="12.94"/>
    <col collapsed="false" customWidth="true" hidden="false" outlineLevel="0" max="10" min="10" style="1" width="18.66"/>
    <col collapsed="false" customWidth="true" hidden="false" outlineLevel="0" max="11" min="11" style="1" width="21.26"/>
    <col collapsed="false" customWidth="true" hidden="false" outlineLevel="0" max="12" min="12" style="1" width="14.76"/>
    <col collapsed="false" customWidth="true" hidden="false" outlineLevel="0" max="13" min="13" style="1" width="26.2"/>
    <col collapsed="false" customWidth="true" hidden="false" outlineLevel="0" max="14" min="14" style="1" width="14.63"/>
    <col collapsed="false" customWidth="true" hidden="false" outlineLevel="0" max="15" min="15" style="1" width="12.81"/>
    <col collapsed="false" customWidth="true" hidden="false" outlineLevel="0" max="16" min="16" style="1" width="23.21"/>
    <col collapsed="false" customWidth="true" hidden="false" outlineLevel="0" max="17" min="17" style="1" width="19.3"/>
    <col collapsed="false" customWidth="true" hidden="false" outlineLevel="0" max="18" min="18" style="1" width="81.39"/>
    <col collapsed="false" customWidth="true" hidden="false" outlineLevel="0" max="19" min="19" style="1" width="58.97"/>
  </cols>
  <sheetData>
    <row r="1" customFormat="false" ht="36.7" hidden="false" customHeight="true" outlineLevel="0" collapsed="false">
      <c r="A1" s="8" t="s">
        <v>39</v>
      </c>
      <c r="B1" s="9" t="s">
        <v>40</v>
      </c>
      <c r="C1" s="10" t="s">
        <v>7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49</v>
      </c>
      <c r="M1" s="10" t="s">
        <v>50</v>
      </c>
      <c r="N1" s="10" t="s">
        <v>51</v>
      </c>
      <c r="O1" s="10" t="s">
        <v>52</v>
      </c>
      <c r="P1" s="10" t="s">
        <v>53</v>
      </c>
      <c r="Q1" s="10" t="s">
        <v>54</v>
      </c>
      <c r="R1" s="10" t="s">
        <v>13</v>
      </c>
      <c r="S1" s="10" t="s">
        <v>55</v>
      </c>
    </row>
    <row r="2" customFormat="false" ht="46.25" hidden="false" customHeight="false" outlineLevel="0" collapsed="false">
      <c r="A2" s="1" t="s">
        <v>56</v>
      </c>
      <c r="B2" s="1" t="n">
        <v>0.25</v>
      </c>
      <c r="C2" s="11" t="s">
        <v>57</v>
      </c>
      <c r="D2" s="12" t="s">
        <v>58</v>
      </c>
      <c r="E2" s="12" t="n">
        <v>0.05</v>
      </c>
      <c r="F2" s="12" t="n">
        <v>120</v>
      </c>
      <c r="G2" s="12" t="n">
        <v>28</v>
      </c>
      <c r="H2" s="1" t="n">
        <v>205</v>
      </c>
      <c r="I2" s="1" t="n">
        <v>55</v>
      </c>
      <c r="J2" s="1" t="n">
        <v>1.4</v>
      </c>
      <c r="K2" s="1" t="n">
        <v>50</v>
      </c>
      <c r="L2" s="1" t="n">
        <v>100</v>
      </c>
      <c r="M2" s="1" t="n">
        <v>12</v>
      </c>
      <c r="N2" s="1" t="n">
        <v>100</v>
      </c>
      <c r="O2" s="1" t="n">
        <v>1.22</v>
      </c>
      <c r="P2" s="13" t="s">
        <v>59</v>
      </c>
      <c r="Q2" s="13" t="s">
        <v>60</v>
      </c>
      <c r="R2" s="1" t="str">
        <f aca="false">A2&amp;" @ "&amp;TEXT(B2,"0.00")&amp;"mm.json"</f>
        <v>FELIX Premium PLA Hardened Steel @ 0.25mm.json</v>
      </c>
    </row>
    <row r="3" customFormat="false" ht="46.25" hidden="false" customHeight="false" outlineLevel="0" collapsed="false">
      <c r="A3" s="1" t="s">
        <v>56</v>
      </c>
      <c r="B3" s="1" t="n">
        <v>0.35</v>
      </c>
      <c r="C3" s="11" t="s">
        <v>57</v>
      </c>
      <c r="D3" s="14" t="s">
        <v>61</v>
      </c>
      <c r="E3" s="12" t="n">
        <v>0.05</v>
      </c>
      <c r="F3" s="12" t="n">
        <v>120</v>
      </c>
      <c r="G3" s="12" t="n">
        <v>28</v>
      </c>
      <c r="H3" s="1" t="n">
        <v>205</v>
      </c>
      <c r="I3" s="1" t="n">
        <v>55</v>
      </c>
      <c r="J3" s="1" t="n">
        <v>1.4</v>
      </c>
      <c r="K3" s="1" t="n">
        <v>50</v>
      </c>
      <c r="L3" s="1" t="n">
        <v>100</v>
      </c>
      <c r="M3" s="1" t="n">
        <v>12</v>
      </c>
      <c r="N3" s="1" t="n">
        <v>100</v>
      </c>
      <c r="O3" s="1" t="n">
        <v>1.22</v>
      </c>
      <c r="P3" s="13" t="s">
        <v>59</v>
      </c>
      <c r="Q3" s="13" t="s">
        <v>60</v>
      </c>
      <c r="R3" s="1" t="str">
        <f aca="false">A3&amp;" @ "&amp;TEXT(B3,"0.00")&amp;"mm.json"</f>
        <v>FELIX Premium PLA Hardened Steel @ 0.35mm.json</v>
      </c>
    </row>
    <row r="4" customFormat="false" ht="46.25" hidden="false" customHeight="false" outlineLevel="0" collapsed="false">
      <c r="A4" s="1" t="s">
        <v>56</v>
      </c>
      <c r="B4" s="1" t="n">
        <v>0.5</v>
      </c>
      <c r="C4" s="11" t="s">
        <v>57</v>
      </c>
      <c r="D4" s="14" t="s">
        <v>62</v>
      </c>
      <c r="E4" s="12" t="n">
        <v>0.05</v>
      </c>
      <c r="F4" s="12" t="n">
        <v>120</v>
      </c>
      <c r="G4" s="12" t="n">
        <v>28</v>
      </c>
      <c r="H4" s="1" t="n">
        <v>205</v>
      </c>
      <c r="I4" s="1" t="n">
        <v>55</v>
      </c>
      <c r="J4" s="1" t="n">
        <v>1.4</v>
      </c>
      <c r="K4" s="1" t="n">
        <v>50</v>
      </c>
      <c r="L4" s="1" t="n">
        <v>100</v>
      </c>
      <c r="M4" s="1" t="n">
        <v>12</v>
      </c>
      <c r="N4" s="1" t="n">
        <v>100</v>
      </c>
      <c r="O4" s="1" t="n">
        <v>1.22</v>
      </c>
      <c r="P4" s="13" t="s">
        <v>59</v>
      </c>
      <c r="Q4" s="13" t="s">
        <v>60</v>
      </c>
      <c r="R4" s="1" t="str">
        <f aca="false">A4&amp;" @ "&amp;TEXT(B4,"0.00")&amp;"mm.json"</f>
        <v>FELIX Premium PLA Hardened Steel @ 0.50mm.json</v>
      </c>
    </row>
    <row r="5" customFormat="false" ht="46.25" hidden="false" customHeight="false" outlineLevel="0" collapsed="false">
      <c r="A5" s="1" t="s">
        <v>56</v>
      </c>
      <c r="B5" s="1" t="n">
        <v>0.7</v>
      </c>
      <c r="C5" s="11" t="s">
        <v>57</v>
      </c>
      <c r="D5" s="14" t="s">
        <v>63</v>
      </c>
      <c r="E5" s="12" t="n">
        <v>0.05</v>
      </c>
      <c r="F5" s="12" t="n">
        <v>120</v>
      </c>
      <c r="G5" s="12" t="n">
        <v>28</v>
      </c>
      <c r="H5" s="1" t="n">
        <v>205</v>
      </c>
      <c r="I5" s="1" t="n">
        <v>55</v>
      </c>
      <c r="J5" s="1" t="n">
        <v>1.4</v>
      </c>
      <c r="K5" s="1" t="n">
        <v>50</v>
      </c>
      <c r="L5" s="1" t="n">
        <v>100</v>
      </c>
      <c r="M5" s="1" t="n">
        <v>12</v>
      </c>
      <c r="N5" s="1" t="n">
        <v>100</v>
      </c>
      <c r="O5" s="1" t="n">
        <v>1.22</v>
      </c>
      <c r="P5" s="13" t="s">
        <v>59</v>
      </c>
      <c r="Q5" s="13" t="s">
        <v>60</v>
      </c>
      <c r="R5" s="1" t="str">
        <f aca="false">A5&amp;" @ "&amp;TEXT(B5,"0.00")&amp;"mm.json"</f>
        <v>FELIX Premium PLA Hardened Steel @ 0.70mm.json</v>
      </c>
    </row>
    <row r="6" customFormat="false" ht="46.25" hidden="false" customHeight="false" outlineLevel="0" collapsed="false">
      <c r="A6" s="1" t="s">
        <v>64</v>
      </c>
      <c r="B6" s="1" t="n">
        <v>0.35</v>
      </c>
      <c r="C6" s="11" t="s">
        <v>57</v>
      </c>
      <c r="D6" s="14" t="s">
        <v>61</v>
      </c>
      <c r="E6" s="12" t="n">
        <v>0.05</v>
      </c>
      <c r="F6" s="12" t="n">
        <v>120</v>
      </c>
      <c r="G6" s="12" t="n">
        <v>28</v>
      </c>
      <c r="H6" s="1" t="n">
        <v>190</v>
      </c>
      <c r="I6" s="1" t="n">
        <v>55</v>
      </c>
      <c r="J6" s="1" t="n">
        <v>1.4</v>
      </c>
      <c r="K6" s="1" t="n">
        <v>50</v>
      </c>
      <c r="L6" s="1" t="n">
        <v>100</v>
      </c>
      <c r="M6" s="1" t="n">
        <v>12</v>
      </c>
      <c r="N6" s="1" t="n">
        <v>100</v>
      </c>
      <c r="O6" s="1" t="n">
        <v>1.22</v>
      </c>
      <c r="P6" s="13" t="s">
        <v>65</v>
      </c>
      <c r="Q6" s="13" t="s">
        <v>60</v>
      </c>
      <c r="R6" s="1" t="str">
        <f aca="false">A6&amp;" @ "&amp;TEXT(B6,"0.00")&amp;"mm.json"</f>
        <v>FELIX Premium PLA Brass @ 0.35mm.json</v>
      </c>
    </row>
    <row r="7" customFormat="false" ht="46.25" hidden="false" customHeight="false" outlineLevel="0" collapsed="false">
      <c r="A7" s="1" t="s">
        <v>64</v>
      </c>
      <c r="B7" s="1" t="n">
        <v>0.5</v>
      </c>
      <c r="C7" s="11" t="s">
        <v>57</v>
      </c>
      <c r="D7" s="14" t="s">
        <v>62</v>
      </c>
      <c r="E7" s="12" t="n">
        <v>0.05</v>
      </c>
      <c r="F7" s="12" t="n">
        <v>120</v>
      </c>
      <c r="G7" s="12" t="n">
        <v>28</v>
      </c>
      <c r="H7" s="1" t="n">
        <v>190</v>
      </c>
      <c r="I7" s="1" t="n">
        <v>55</v>
      </c>
      <c r="J7" s="1" t="n">
        <v>1.4</v>
      </c>
      <c r="K7" s="1" t="n">
        <v>50</v>
      </c>
      <c r="L7" s="1" t="n">
        <v>100</v>
      </c>
      <c r="M7" s="1" t="n">
        <v>12</v>
      </c>
      <c r="N7" s="1" t="n">
        <v>100</v>
      </c>
      <c r="O7" s="1" t="n">
        <v>1.22</v>
      </c>
      <c r="P7" s="13" t="s">
        <v>65</v>
      </c>
      <c r="Q7" s="13" t="s">
        <v>60</v>
      </c>
      <c r="R7" s="1" t="str">
        <f aca="false">A7&amp;" @ "&amp;TEXT(B7,"0.00")&amp;"mm.json"</f>
        <v>FELIX Premium PLA Brass @ 0.50mm.json</v>
      </c>
    </row>
    <row r="8" customFormat="false" ht="46.25" hidden="false" customHeight="false" outlineLevel="0" collapsed="false">
      <c r="A8" s="15" t="s">
        <v>66</v>
      </c>
      <c r="B8" s="15" t="n">
        <v>0.25</v>
      </c>
      <c r="C8" s="16" t="s">
        <v>67</v>
      </c>
      <c r="D8" s="17" t="s">
        <v>58</v>
      </c>
      <c r="E8" s="17" t="n">
        <v>0.05</v>
      </c>
      <c r="F8" s="17" t="n">
        <v>120</v>
      </c>
      <c r="G8" s="17" t="n">
        <v>28</v>
      </c>
      <c r="H8" s="15" t="n">
        <v>235</v>
      </c>
      <c r="I8" s="15" t="n">
        <v>75</v>
      </c>
      <c r="J8" s="15" t="n">
        <v>1.2</v>
      </c>
      <c r="K8" s="15" t="n">
        <v>60</v>
      </c>
      <c r="L8" s="15" t="n">
        <v>100</v>
      </c>
      <c r="M8" s="15" t="n">
        <v>12</v>
      </c>
      <c r="N8" s="15" t="n">
        <v>60</v>
      </c>
      <c r="O8" s="15" t="n">
        <v>1.27</v>
      </c>
      <c r="P8" s="18" t="s">
        <v>59</v>
      </c>
      <c r="Q8" s="13" t="s">
        <v>60</v>
      </c>
      <c r="R8" s="1" t="str">
        <f aca="false">A8&amp;" @ "&amp;TEXT(B8,"0.00")&amp;"mm.json"</f>
        <v>FELIX PETG Hardened Steel @ 0.25mm.json</v>
      </c>
    </row>
    <row r="9" customFormat="false" ht="46.25" hidden="false" customHeight="false" outlineLevel="0" collapsed="false">
      <c r="A9" s="1" t="s">
        <v>66</v>
      </c>
      <c r="B9" s="1" t="n">
        <v>0.35</v>
      </c>
      <c r="C9" s="16" t="s">
        <v>67</v>
      </c>
      <c r="D9" s="14" t="s">
        <v>61</v>
      </c>
      <c r="E9" s="12" t="n">
        <v>0.05</v>
      </c>
      <c r="F9" s="12" t="n">
        <v>120</v>
      </c>
      <c r="G9" s="12" t="n">
        <v>28</v>
      </c>
      <c r="H9" s="1" t="n">
        <v>235</v>
      </c>
      <c r="I9" s="1" t="n">
        <v>75</v>
      </c>
      <c r="J9" s="1" t="n">
        <v>1.2</v>
      </c>
      <c r="K9" s="1" t="n">
        <v>60</v>
      </c>
      <c r="L9" s="1" t="n">
        <v>100</v>
      </c>
      <c r="M9" s="1" t="n">
        <v>12</v>
      </c>
      <c r="N9" s="1" t="n">
        <v>60</v>
      </c>
      <c r="O9" s="1" t="n">
        <v>1.27</v>
      </c>
      <c r="P9" s="13" t="s">
        <v>59</v>
      </c>
      <c r="Q9" s="13" t="s">
        <v>60</v>
      </c>
      <c r="R9" s="1" t="str">
        <f aca="false">A9&amp;" @ "&amp;TEXT(B9,"0.00")&amp;"mm.json"</f>
        <v>FELIX PETG Hardened Steel @ 0.35mm.json</v>
      </c>
    </row>
    <row r="10" customFormat="false" ht="46.25" hidden="false" customHeight="false" outlineLevel="0" collapsed="false">
      <c r="A10" s="1" t="s">
        <v>66</v>
      </c>
      <c r="B10" s="1" t="n">
        <v>0.5</v>
      </c>
      <c r="C10" s="16" t="s">
        <v>67</v>
      </c>
      <c r="D10" s="14" t="s">
        <v>62</v>
      </c>
      <c r="E10" s="12" t="n">
        <v>0.05</v>
      </c>
      <c r="F10" s="12" t="n">
        <v>120</v>
      </c>
      <c r="G10" s="12" t="n">
        <v>28</v>
      </c>
      <c r="H10" s="1" t="n">
        <v>235</v>
      </c>
      <c r="I10" s="1" t="n">
        <v>75</v>
      </c>
      <c r="J10" s="1" t="n">
        <v>1.2</v>
      </c>
      <c r="K10" s="1" t="n">
        <v>60</v>
      </c>
      <c r="L10" s="1" t="n">
        <v>100</v>
      </c>
      <c r="M10" s="1" t="n">
        <v>12</v>
      </c>
      <c r="N10" s="1" t="n">
        <v>60</v>
      </c>
      <c r="O10" s="1" t="n">
        <v>1.27</v>
      </c>
      <c r="P10" s="13" t="s">
        <v>59</v>
      </c>
      <c r="Q10" s="13" t="s">
        <v>60</v>
      </c>
      <c r="R10" s="1" t="str">
        <f aca="false">A10&amp;" @ "&amp;TEXT(B10,"0.00")&amp;"mm.json"</f>
        <v>FELIX PETG Hardened Steel @ 0.50mm.json</v>
      </c>
    </row>
    <row r="11" customFormat="false" ht="46.25" hidden="false" customHeight="false" outlineLevel="0" collapsed="false">
      <c r="A11" s="1" t="s">
        <v>66</v>
      </c>
      <c r="B11" s="1" t="n">
        <v>0.7</v>
      </c>
      <c r="C11" s="16" t="s">
        <v>67</v>
      </c>
      <c r="D11" s="14" t="s">
        <v>63</v>
      </c>
      <c r="E11" s="12" t="n">
        <v>0.05</v>
      </c>
      <c r="F11" s="12" t="n">
        <v>120</v>
      </c>
      <c r="G11" s="12" t="n">
        <v>28</v>
      </c>
      <c r="H11" s="1" t="n">
        <v>235</v>
      </c>
      <c r="I11" s="1" t="n">
        <v>75</v>
      </c>
      <c r="J11" s="1" t="n">
        <v>1.2</v>
      </c>
      <c r="K11" s="1" t="n">
        <v>60</v>
      </c>
      <c r="L11" s="1" t="n">
        <v>100</v>
      </c>
      <c r="M11" s="1" t="n">
        <v>12</v>
      </c>
      <c r="N11" s="1" t="n">
        <v>60</v>
      </c>
      <c r="O11" s="1" t="n">
        <v>1.27</v>
      </c>
      <c r="P11" s="13" t="s">
        <v>59</v>
      </c>
      <c r="Q11" s="13" t="s">
        <v>60</v>
      </c>
      <c r="R11" s="1" t="str">
        <f aca="false">A11&amp;" @ "&amp;TEXT(B11,"0.00")&amp;"mm.json"</f>
        <v>FELIX PETG Hardened Steel @ 0.70mm.json</v>
      </c>
    </row>
    <row r="12" customFormat="false" ht="46.25" hidden="false" customHeight="false" outlineLevel="0" collapsed="false">
      <c r="A12" s="1" t="s">
        <v>68</v>
      </c>
      <c r="B12" s="1" t="n">
        <v>0.35</v>
      </c>
      <c r="C12" s="16" t="s">
        <v>67</v>
      </c>
      <c r="D12" s="14" t="s">
        <v>61</v>
      </c>
      <c r="E12" s="12" t="n">
        <v>0.05</v>
      </c>
      <c r="F12" s="12" t="n">
        <v>120</v>
      </c>
      <c r="G12" s="12" t="n">
        <v>28</v>
      </c>
      <c r="H12" s="1" t="n">
        <v>220</v>
      </c>
      <c r="I12" s="1" t="n">
        <v>75</v>
      </c>
      <c r="J12" s="1" t="n">
        <v>1.2</v>
      </c>
      <c r="K12" s="1" t="n">
        <v>60</v>
      </c>
      <c r="L12" s="1" t="n">
        <v>100</v>
      </c>
      <c r="M12" s="1" t="n">
        <v>12</v>
      </c>
      <c r="N12" s="1" t="n">
        <v>60</v>
      </c>
      <c r="O12" s="1" t="n">
        <v>1.27</v>
      </c>
      <c r="P12" s="13" t="s">
        <v>65</v>
      </c>
      <c r="Q12" s="13" t="s">
        <v>60</v>
      </c>
      <c r="R12" s="1" t="str">
        <f aca="false">A12&amp;" @ "&amp;TEXT(B12,"0.00")&amp;"mm.json"</f>
        <v>FELIX PETG Brass @ 0.35mm.json</v>
      </c>
    </row>
    <row r="13" customFormat="false" ht="46.25" hidden="false" customHeight="false" outlineLevel="0" collapsed="false">
      <c r="A13" s="1" t="s">
        <v>68</v>
      </c>
      <c r="B13" s="1" t="n">
        <v>0.5</v>
      </c>
      <c r="C13" s="16" t="s">
        <v>67</v>
      </c>
      <c r="D13" s="14" t="s">
        <v>62</v>
      </c>
      <c r="E13" s="12" t="n">
        <v>0.05</v>
      </c>
      <c r="F13" s="12" t="n">
        <v>120</v>
      </c>
      <c r="G13" s="12" t="n">
        <v>28</v>
      </c>
      <c r="H13" s="1" t="n">
        <v>220</v>
      </c>
      <c r="I13" s="1" t="n">
        <v>75</v>
      </c>
      <c r="J13" s="1" t="n">
        <v>1.2</v>
      </c>
      <c r="K13" s="1" t="n">
        <v>60</v>
      </c>
      <c r="L13" s="1" t="n">
        <v>100</v>
      </c>
      <c r="M13" s="1" t="n">
        <v>12</v>
      </c>
      <c r="N13" s="1" t="n">
        <v>60</v>
      </c>
      <c r="O13" s="1" t="n">
        <v>1.27</v>
      </c>
      <c r="P13" s="13" t="s">
        <v>65</v>
      </c>
      <c r="Q13" s="13" t="s">
        <v>60</v>
      </c>
      <c r="R13" s="1" t="str">
        <f aca="false">A13&amp;" @ "&amp;TEXT(B13,"0.00")&amp;"mm.json"</f>
        <v>FELIX PETG Brass @ 0.50mm.json</v>
      </c>
    </row>
    <row r="14" customFormat="false" ht="46.25" hidden="false" customHeight="false" outlineLevel="0" collapsed="false">
      <c r="A14" s="15" t="s">
        <v>69</v>
      </c>
      <c r="B14" s="15" t="n">
        <v>0.25</v>
      </c>
      <c r="C14" s="16" t="s">
        <v>70</v>
      </c>
      <c r="D14" s="17" t="s">
        <v>58</v>
      </c>
      <c r="E14" s="17" t="n">
        <v>0.05</v>
      </c>
      <c r="F14" s="17" t="n">
        <v>120</v>
      </c>
      <c r="G14" s="17" t="n">
        <v>28</v>
      </c>
      <c r="H14" s="15" t="n">
        <v>225</v>
      </c>
      <c r="I14" s="15" t="n">
        <v>40</v>
      </c>
      <c r="J14" s="15" t="n">
        <v>2.2</v>
      </c>
      <c r="K14" s="15" t="n">
        <v>50</v>
      </c>
      <c r="L14" s="15" t="n">
        <v>100</v>
      </c>
      <c r="M14" s="15" t="n">
        <v>12</v>
      </c>
      <c r="N14" s="15" t="n">
        <v>60</v>
      </c>
      <c r="O14" s="15" t="n">
        <v>1.38</v>
      </c>
      <c r="P14" s="18" t="s">
        <v>59</v>
      </c>
      <c r="Q14" s="13" t="s">
        <v>60</v>
      </c>
      <c r="R14" s="1" t="str">
        <f aca="false">A14&amp;" @ "&amp;TEXT(B14,"0.00")&amp;"mm.json"</f>
        <v>FELIX FLEX Hardened Steel @ 0.25mm.json</v>
      </c>
    </row>
    <row r="15" customFormat="false" ht="46.25" hidden="false" customHeight="false" outlineLevel="0" collapsed="false">
      <c r="A15" s="1" t="s">
        <v>69</v>
      </c>
      <c r="B15" s="1" t="n">
        <v>0.35</v>
      </c>
      <c r="C15" s="11" t="s">
        <v>70</v>
      </c>
      <c r="D15" s="14" t="s">
        <v>61</v>
      </c>
      <c r="E15" s="12" t="n">
        <v>0.05</v>
      </c>
      <c r="F15" s="12" t="n">
        <v>120</v>
      </c>
      <c r="G15" s="12" t="n">
        <v>28</v>
      </c>
      <c r="H15" s="1" t="n">
        <v>225</v>
      </c>
      <c r="I15" s="1" t="n">
        <v>40</v>
      </c>
      <c r="J15" s="1" t="n">
        <v>2.2</v>
      </c>
      <c r="K15" s="1" t="n">
        <v>50</v>
      </c>
      <c r="L15" s="1" t="n">
        <v>100</v>
      </c>
      <c r="M15" s="1" t="n">
        <v>12</v>
      </c>
      <c r="N15" s="1" t="n">
        <v>60</v>
      </c>
      <c r="O15" s="1" t="n">
        <v>1.38</v>
      </c>
      <c r="P15" s="13" t="s">
        <v>59</v>
      </c>
      <c r="Q15" s="13" t="s">
        <v>60</v>
      </c>
      <c r="R15" s="1" t="str">
        <f aca="false">A15&amp;" @ "&amp;TEXT(B15,"0.00")&amp;"mm.json"</f>
        <v>FELIX FLEX Hardened Steel @ 0.35mm.json</v>
      </c>
    </row>
    <row r="16" customFormat="false" ht="46.25" hidden="false" customHeight="false" outlineLevel="0" collapsed="false">
      <c r="A16" s="1" t="s">
        <v>69</v>
      </c>
      <c r="B16" s="1" t="n">
        <v>0.5</v>
      </c>
      <c r="C16" s="11" t="s">
        <v>70</v>
      </c>
      <c r="D16" s="14" t="s">
        <v>62</v>
      </c>
      <c r="E16" s="12" t="n">
        <v>0.05</v>
      </c>
      <c r="F16" s="12" t="n">
        <v>120</v>
      </c>
      <c r="G16" s="12" t="n">
        <v>28</v>
      </c>
      <c r="H16" s="1" t="n">
        <v>225</v>
      </c>
      <c r="I16" s="1" t="n">
        <v>40</v>
      </c>
      <c r="J16" s="1" t="n">
        <v>2.2</v>
      </c>
      <c r="K16" s="1" t="n">
        <v>50</v>
      </c>
      <c r="L16" s="1" t="n">
        <v>100</v>
      </c>
      <c r="M16" s="1" t="n">
        <v>12</v>
      </c>
      <c r="N16" s="1" t="n">
        <v>60</v>
      </c>
      <c r="O16" s="1" t="n">
        <v>1.38</v>
      </c>
      <c r="P16" s="13" t="s">
        <v>59</v>
      </c>
      <c r="Q16" s="13" t="s">
        <v>60</v>
      </c>
      <c r="R16" s="1" t="str">
        <f aca="false">A16&amp;" @ "&amp;TEXT(B16,"0.00")&amp;"mm.json"</f>
        <v>FELIX FLEX Hardened Steel @ 0.50mm.json</v>
      </c>
    </row>
    <row r="17" customFormat="false" ht="46.25" hidden="false" customHeight="false" outlineLevel="0" collapsed="false">
      <c r="A17" s="1" t="s">
        <v>69</v>
      </c>
      <c r="B17" s="1" t="n">
        <v>0.7</v>
      </c>
      <c r="C17" s="11" t="s">
        <v>70</v>
      </c>
      <c r="D17" s="14" t="s">
        <v>63</v>
      </c>
      <c r="E17" s="12" t="n">
        <v>0.05</v>
      </c>
      <c r="F17" s="12" t="n">
        <v>120</v>
      </c>
      <c r="G17" s="12" t="n">
        <v>28</v>
      </c>
      <c r="H17" s="1" t="n">
        <v>225</v>
      </c>
      <c r="I17" s="1" t="n">
        <v>40</v>
      </c>
      <c r="J17" s="1" t="n">
        <v>2.2</v>
      </c>
      <c r="K17" s="1" t="n">
        <v>50</v>
      </c>
      <c r="L17" s="1" t="n">
        <v>100</v>
      </c>
      <c r="M17" s="1" t="n">
        <v>12</v>
      </c>
      <c r="N17" s="1" t="n">
        <v>60</v>
      </c>
      <c r="O17" s="1" t="n">
        <v>1.38</v>
      </c>
      <c r="P17" s="13" t="s">
        <v>59</v>
      </c>
      <c r="Q17" s="13" t="s">
        <v>60</v>
      </c>
      <c r="R17" s="1" t="str">
        <f aca="false">A17&amp;" @ "&amp;TEXT(B17,"0.00")&amp;"mm.json"</f>
        <v>FELIX FLEX Hardened Steel @ 0.70mm.json</v>
      </c>
    </row>
    <row r="18" customFormat="false" ht="46.25" hidden="false" customHeight="false" outlineLevel="0" collapsed="false">
      <c r="A18" s="1" t="s">
        <v>71</v>
      </c>
      <c r="B18" s="1" t="n">
        <v>0.35</v>
      </c>
      <c r="C18" s="11" t="s">
        <v>70</v>
      </c>
      <c r="D18" s="14" t="s">
        <v>61</v>
      </c>
      <c r="E18" s="12" t="n">
        <v>0.05</v>
      </c>
      <c r="F18" s="12" t="n">
        <v>120</v>
      </c>
      <c r="G18" s="12" t="n">
        <v>28</v>
      </c>
      <c r="H18" s="1" t="n">
        <v>215</v>
      </c>
      <c r="I18" s="1" t="n">
        <v>40</v>
      </c>
      <c r="J18" s="1" t="n">
        <v>2.2</v>
      </c>
      <c r="K18" s="1" t="n">
        <v>50</v>
      </c>
      <c r="L18" s="1" t="n">
        <v>100</v>
      </c>
      <c r="M18" s="1" t="n">
        <v>12</v>
      </c>
      <c r="N18" s="1" t="n">
        <v>60</v>
      </c>
      <c r="O18" s="1" t="n">
        <v>1.38</v>
      </c>
      <c r="P18" s="13" t="s">
        <v>65</v>
      </c>
      <c r="Q18" s="13" t="s">
        <v>60</v>
      </c>
      <c r="R18" s="1" t="str">
        <f aca="false">A18&amp;" @ "&amp;TEXT(B18,"0.00")&amp;"mm.json"</f>
        <v>FELIX FLEX  Brass @ 0.35mm.json</v>
      </c>
    </row>
    <row r="19" customFormat="false" ht="46.25" hidden="false" customHeight="false" outlineLevel="0" collapsed="false">
      <c r="A19" s="1" t="s">
        <v>71</v>
      </c>
      <c r="B19" s="1" t="n">
        <v>0.5</v>
      </c>
      <c r="C19" s="11" t="s">
        <v>70</v>
      </c>
      <c r="D19" s="14" t="s">
        <v>62</v>
      </c>
      <c r="E19" s="12" t="n">
        <v>0.05</v>
      </c>
      <c r="F19" s="12" t="n">
        <v>120</v>
      </c>
      <c r="G19" s="12" t="n">
        <v>28</v>
      </c>
      <c r="H19" s="1" t="n">
        <v>215</v>
      </c>
      <c r="I19" s="1" t="n">
        <v>40</v>
      </c>
      <c r="J19" s="1" t="n">
        <v>2.2</v>
      </c>
      <c r="K19" s="1" t="n">
        <v>50</v>
      </c>
      <c r="L19" s="1" t="n">
        <v>100</v>
      </c>
      <c r="M19" s="1" t="n">
        <v>12</v>
      </c>
      <c r="N19" s="1" t="n">
        <v>60</v>
      </c>
      <c r="O19" s="1" t="n">
        <v>1.38</v>
      </c>
      <c r="P19" s="13" t="s">
        <v>65</v>
      </c>
      <c r="Q19" s="13" t="s">
        <v>60</v>
      </c>
      <c r="R19" s="1" t="str">
        <f aca="false">A19&amp;" @ "&amp;TEXT(B19,"0.00")&amp;"mm.json"</f>
        <v>FELIX FLEX  Brass @ 0.50mm.json</v>
      </c>
    </row>
    <row r="20" customFormat="false" ht="46.25" hidden="false" customHeight="false" outlineLevel="0" collapsed="false">
      <c r="A20" s="15" t="s">
        <v>72</v>
      </c>
      <c r="B20" s="15" t="n">
        <v>0.25</v>
      </c>
      <c r="C20" s="16" t="s">
        <v>57</v>
      </c>
      <c r="D20" s="17" t="s">
        <v>58</v>
      </c>
      <c r="E20" s="17" t="n">
        <v>0.15</v>
      </c>
      <c r="F20" s="17" t="n">
        <v>120</v>
      </c>
      <c r="G20" s="17" t="n">
        <v>28</v>
      </c>
      <c r="H20" s="15" t="n">
        <v>200</v>
      </c>
      <c r="I20" s="15" t="n">
        <v>55</v>
      </c>
      <c r="J20" s="15" t="n">
        <v>2.5</v>
      </c>
      <c r="K20" s="15" t="n">
        <v>60</v>
      </c>
      <c r="L20" s="15" t="n">
        <v>100</v>
      </c>
      <c r="M20" s="15" t="n">
        <v>12</v>
      </c>
      <c r="N20" s="15" t="n">
        <v>100</v>
      </c>
      <c r="O20" s="15" t="n">
        <v>1.24</v>
      </c>
      <c r="P20" s="18" t="s">
        <v>59</v>
      </c>
      <c r="Q20" s="13" t="s">
        <v>60</v>
      </c>
      <c r="R20" s="1" t="str">
        <f aca="false">A20&amp;" @ "&amp;TEXT(B20,"0.00")&amp;"mm.json"</f>
        <v>FELIX Wood Hardened Steel @ 0.25mm.json</v>
      </c>
    </row>
    <row r="21" customFormat="false" ht="46.25" hidden="false" customHeight="false" outlineLevel="0" collapsed="false">
      <c r="A21" s="1" t="s">
        <v>72</v>
      </c>
      <c r="B21" s="1" t="n">
        <v>0.35</v>
      </c>
      <c r="C21" s="16" t="s">
        <v>57</v>
      </c>
      <c r="D21" s="14" t="s">
        <v>61</v>
      </c>
      <c r="E21" s="12" t="n">
        <v>0.15</v>
      </c>
      <c r="F21" s="12" t="n">
        <v>120</v>
      </c>
      <c r="G21" s="12" t="n">
        <v>28</v>
      </c>
      <c r="H21" s="1" t="n">
        <v>200</v>
      </c>
      <c r="I21" s="1" t="n">
        <v>55</v>
      </c>
      <c r="J21" s="1" t="n">
        <v>2.5</v>
      </c>
      <c r="K21" s="1" t="n">
        <v>60</v>
      </c>
      <c r="L21" s="1" t="n">
        <v>100</v>
      </c>
      <c r="M21" s="1" t="n">
        <v>12</v>
      </c>
      <c r="N21" s="1" t="n">
        <v>100</v>
      </c>
      <c r="O21" s="1" t="n">
        <v>1.24</v>
      </c>
      <c r="P21" s="13" t="s">
        <v>59</v>
      </c>
      <c r="Q21" s="13" t="s">
        <v>60</v>
      </c>
      <c r="R21" s="1" t="str">
        <f aca="false">A21&amp;" @ "&amp;TEXT(B21,"0.00")&amp;"mm.json"</f>
        <v>FELIX Wood Hardened Steel @ 0.35mm.json</v>
      </c>
    </row>
    <row r="22" customFormat="false" ht="46.25" hidden="false" customHeight="false" outlineLevel="0" collapsed="false">
      <c r="A22" s="1" t="s">
        <v>72</v>
      </c>
      <c r="B22" s="1" t="n">
        <v>0.5</v>
      </c>
      <c r="C22" s="16" t="s">
        <v>57</v>
      </c>
      <c r="D22" s="14" t="s">
        <v>62</v>
      </c>
      <c r="E22" s="12" t="n">
        <v>0.15</v>
      </c>
      <c r="F22" s="12" t="n">
        <v>120</v>
      </c>
      <c r="G22" s="12" t="n">
        <v>28</v>
      </c>
      <c r="H22" s="1" t="n">
        <v>200</v>
      </c>
      <c r="I22" s="1" t="n">
        <v>55</v>
      </c>
      <c r="J22" s="1" t="n">
        <v>2.5</v>
      </c>
      <c r="K22" s="1" t="n">
        <v>60</v>
      </c>
      <c r="L22" s="1" t="n">
        <v>100</v>
      </c>
      <c r="M22" s="1" t="n">
        <v>12</v>
      </c>
      <c r="N22" s="1" t="n">
        <v>100</v>
      </c>
      <c r="O22" s="1" t="n">
        <v>1.24</v>
      </c>
      <c r="P22" s="13" t="s">
        <v>59</v>
      </c>
      <c r="Q22" s="13" t="s">
        <v>60</v>
      </c>
      <c r="R22" s="1" t="str">
        <f aca="false">A22&amp;" @ "&amp;TEXT(B22,"0.00")&amp;"mm.json"</f>
        <v>FELIX Wood Hardened Steel @ 0.50mm.json</v>
      </c>
    </row>
    <row r="23" customFormat="false" ht="46.25" hidden="false" customHeight="false" outlineLevel="0" collapsed="false">
      <c r="A23" s="1" t="s">
        <v>72</v>
      </c>
      <c r="B23" s="1" t="n">
        <v>0.7</v>
      </c>
      <c r="C23" s="16" t="s">
        <v>57</v>
      </c>
      <c r="D23" s="14" t="s">
        <v>63</v>
      </c>
      <c r="E23" s="12" t="n">
        <v>0.15</v>
      </c>
      <c r="F23" s="12" t="n">
        <v>120</v>
      </c>
      <c r="G23" s="12" t="n">
        <v>28</v>
      </c>
      <c r="H23" s="1" t="n">
        <v>200</v>
      </c>
      <c r="I23" s="1" t="n">
        <v>55</v>
      </c>
      <c r="J23" s="1" t="n">
        <v>2.5</v>
      </c>
      <c r="K23" s="1" t="n">
        <v>60</v>
      </c>
      <c r="L23" s="1" t="n">
        <v>100</v>
      </c>
      <c r="M23" s="1" t="n">
        <v>12</v>
      </c>
      <c r="N23" s="1" t="n">
        <v>100</v>
      </c>
      <c r="O23" s="1" t="n">
        <v>1.24</v>
      </c>
      <c r="P23" s="13" t="s">
        <v>59</v>
      </c>
      <c r="Q23" s="13" t="s">
        <v>60</v>
      </c>
      <c r="R23" s="1" t="str">
        <f aca="false">A23&amp;" @ "&amp;TEXT(B23,"0.00")&amp;"mm.json"</f>
        <v>FELIX Wood Hardened Steel @ 0.70mm.json</v>
      </c>
    </row>
    <row r="24" customFormat="false" ht="46.25" hidden="false" customHeight="false" outlineLevel="0" collapsed="false">
      <c r="A24" s="1" t="s">
        <v>73</v>
      </c>
      <c r="B24" s="1" t="n">
        <v>0.35</v>
      </c>
      <c r="C24" s="16" t="s">
        <v>57</v>
      </c>
      <c r="D24" s="14" t="s">
        <v>61</v>
      </c>
      <c r="E24" s="12" t="n">
        <v>0.15</v>
      </c>
      <c r="F24" s="12" t="n">
        <v>120</v>
      </c>
      <c r="G24" s="12" t="n">
        <v>28</v>
      </c>
      <c r="H24" s="1" t="n">
        <v>185</v>
      </c>
      <c r="I24" s="1" t="n">
        <v>55</v>
      </c>
      <c r="J24" s="1" t="n">
        <v>2.5</v>
      </c>
      <c r="K24" s="1" t="n">
        <v>60</v>
      </c>
      <c r="L24" s="1" t="n">
        <v>100</v>
      </c>
      <c r="M24" s="1" t="n">
        <v>12</v>
      </c>
      <c r="N24" s="1" t="n">
        <v>100</v>
      </c>
      <c r="O24" s="1" t="n">
        <v>1.24</v>
      </c>
      <c r="P24" s="13" t="s">
        <v>65</v>
      </c>
      <c r="Q24" s="13" t="s">
        <v>60</v>
      </c>
      <c r="R24" s="1" t="str">
        <f aca="false">A24&amp;" @ "&amp;TEXT(B24,"0.00")&amp;"mm.json"</f>
        <v>FELIX Wood  Brass @ 0.35mm.json</v>
      </c>
    </row>
    <row r="25" customFormat="false" ht="46.25" hidden="false" customHeight="false" outlineLevel="0" collapsed="false">
      <c r="A25" s="1" t="s">
        <v>74</v>
      </c>
      <c r="B25" s="1" t="n">
        <v>0.5</v>
      </c>
      <c r="C25" s="16" t="s">
        <v>57</v>
      </c>
      <c r="D25" s="14" t="s">
        <v>62</v>
      </c>
      <c r="E25" s="12" t="n">
        <v>0.15</v>
      </c>
      <c r="F25" s="12" t="n">
        <v>120</v>
      </c>
      <c r="G25" s="12" t="n">
        <v>28</v>
      </c>
      <c r="H25" s="1" t="n">
        <v>185</v>
      </c>
      <c r="I25" s="1" t="n">
        <v>55</v>
      </c>
      <c r="J25" s="1" t="n">
        <v>2.5</v>
      </c>
      <c r="K25" s="1" t="n">
        <v>60</v>
      </c>
      <c r="L25" s="1" t="n">
        <v>100</v>
      </c>
      <c r="M25" s="1" t="n">
        <v>12</v>
      </c>
      <c r="N25" s="1" t="n">
        <v>100</v>
      </c>
      <c r="O25" s="1" t="n">
        <v>1.24</v>
      </c>
      <c r="P25" s="13" t="s">
        <v>65</v>
      </c>
      <c r="Q25" s="13" t="s">
        <v>60</v>
      </c>
      <c r="R25" s="1" t="str">
        <f aca="false">A25&amp;" @ "&amp;TEXT(B25,"0.00")&amp;"mm.json"</f>
        <v>FELIX Wood Brass @ 0.50mm.json</v>
      </c>
    </row>
    <row r="26" customFormat="false" ht="46.25" hidden="false" customHeight="false" outlineLevel="0" collapsed="false">
      <c r="A26" s="15" t="s">
        <v>75</v>
      </c>
      <c r="B26" s="17" t="n">
        <v>0.25</v>
      </c>
      <c r="C26" s="17" t="s">
        <v>76</v>
      </c>
      <c r="D26" s="17" t="s">
        <v>58</v>
      </c>
      <c r="E26" s="17" t="n">
        <v>0</v>
      </c>
      <c r="F26" s="17" t="n">
        <v>140</v>
      </c>
      <c r="G26" s="17" t="n">
        <v>28</v>
      </c>
      <c r="H26" s="17" t="n">
        <v>245</v>
      </c>
      <c r="I26" s="17" t="n">
        <v>90</v>
      </c>
      <c r="J26" s="17" t="n">
        <v>1.4</v>
      </c>
      <c r="K26" s="17" t="n">
        <v>50</v>
      </c>
      <c r="L26" s="17" t="n">
        <v>96</v>
      </c>
      <c r="M26" s="19" t="n">
        <v>12</v>
      </c>
      <c r="N26" s="17" t="n">
        <v>40</v>
      </c>
      <c r="O26" s="17" t="n">
        <v>1.07</v>
      </c>
      <c r="P26" s="20" t="s">
        <v>59</v>
      </c>
      <c r="Q26" s="20" t="s">
        <v>77</v>
      </c>
      <c r="R26" s="1" t="str">
        <f aca="false">A26&amp;" @ "&amp;TEXT(B26,"0.00")&amp;"mm.json"</f>
        <v>FORMFUTURA AppoloX ASA Hardened Steel @ 0.25mm.json</v>
      </c>
    </row>
    <row r="27" customFormat="false" ht="46.25" hidden="false" customHeight="false" outlineLevel="0" collapsed="false">
      <c r="A27" s="21" t="s">
        <v>75</v>
      </c>
      <c r="B27" s="12" t="n">
        <v>0.35</v>
      </c>
      <c r="C27" s="12" t="s">
        <v>76</v>
      </c>
      <c r="D27" s="12" t="s">
        <v>61</v>
      </c>
      <c r="E27" s="12" t="n">
        <v>0</v>
      </c>
      <c r="F27" s="12" t="n">
        <v>140</v>
      </c>
      <c r="G27" s="12" t="n">
        <v>28</v>
      </c>
      <c r="H27" s="12" t="n">
        <v>245</v>
      </c>
      <c r="I27" s="12" t="n">
        <v>90</v>
      </c>
      <c r="J27" s="12" t="n">
        <v>1.4</v>
      </c>
      <c r="K27" s="12" t="n">
        <v>50</v>
      </c>
      <c r="L27" s="12" t="n">
        <v>96</v>
      </c>
      <c r="M27" s="1" t="n">
        <v>12</v>
      </c>
      <c r="N27" s="12" t="n">
        <v>40</v>
      </c>
      <c r="O27" s="12" t="n">
        <v>1.07</v>
      </c>
      <c r="P27" s="22" t="s">
        <v>59</v>
      </c>
      <c r="Q27" s="20" t="s">
        <v>77</v>
      </c>
      <c r="R27" s="1" t="str">
        <f aca="false">A27&amp;" @ "&amp;TEXT(B27,"0.00")&amp;"mm.json"</f>
        <v>FORMFUTURA AppoloX ASA Hardened Steel @ 0.35mm.json</v>
      </c>
    </row>
    <row r="28" customFormat="false" ht="46.25" hidden="false" customHeight="false" outlineLevel="0" collapsed="false">
      <c r="A28" s="21" t="s">
        <v>75</v>
      </c>
      <c r="B28" s="12" t="n">
        <v>0.5</v>
      </c>
      <c r="C28" s="12" t="s">
        <v>76</v>
      </c>
      <c r="D28" s="12" t="s">
        <v>62</v>
      </c>
      <c r="E28" s="12" t="n">
        <v>0</v>
      </c>
      <c r="F28" s="12" t="n">
        <v>140</v>
      </c>
      <c r="G28" s="12" t="n">
        <v>28</v>
      </c>
      <c r="H28" s="12" t="n">
        <v>245</v>
      </c>
      <c r="I28" s="12" t="n">
        <v>90</v>
      </c>
      <c r="J28" s="12" t="n">
        <v>1.4</v>
      </c>
      <c r="K28" s="12" t="n">
        <v>50</v>
      </c>
      <c r="L28" s="12" t="n">
        <v>96</v>
      </c>
      <c r="M28" s="1" t="n">
        <v>12</v>
      </c>
      <c r="N28" s="12" t="n">
        <v>40</v>
      </c>
      <c r="O28" s="12" t="n">
        <v>1.07</v>
      </c>
      <c r="P28" s="22" t="s">
        <v>59</v>
      </c>
      <c r="Q28" s="20" t="s">
        <v>77</v>
      </c>
      <c r="R28" s="1" t="str">
        <f aca="false">A28&amp;" @ "&amp;TEXT(B28,"0.00")&amp;"mm.json"</f>
        <v>FORMFUTURA AppoloX ASA Hardened Steel @ 0.50mm.json</v>
      </c>
    </row>
    <row r="29" customFormat="false" ht="46.25" hidden="false" customHeight="false" outlineLevel="0" collapsed="false">
      <c r="A29" s="21" t="s">
        <v>75</v>
      </c>
      <c r="B29" s="12" t="n">
        <v>0.7</v>
      </c>
      <c r="C29" s="12" t="s">
        <v>76</v>
      </c>
      <c r="D29" s="12" t="s">
        <v>63</v>
      </c>
      <c r="E29" s="12" t="n">
        <v>0</v>
      </c>
      <c r="F29" s="12" t="n">
        <v>140</v>
      </c>
      <c r="G29" s="12" t="n">
        <v>28</v>
      </c>
      <c r="H29" s="12" t="n">
        <v>245</v>
      </c>
      <c r="I29" s="12" t="n">
        <v>90</v>
      </c>
      <c r="J29" s="12" t="n">
        <v>1.4</v>
      </c>
      <c r="K29" s="12" t="n">
        <v>50</v>
      </c>
      <c r="L29" s="12" t="n">
        <v>94</v>
      </c>
      <c r="M29" s="1" t="n">
        <v>12</v>
      </c>
      <c r="N29" s="12" t="n">
        <v>40</v>
      </c>
      <c r="O29" s="12" t="n">
        <v>1.07</v>
      </c>
      <c r="P29" s="22" t="s">
        <v>59</v>
      </c>
      <c r="Q29" s="20" t="s">
        <v>77</v>
      </c>
      <c r="R29" s="1" t="str">
        <f aca="false">A29&amp;" @ "&amp;TEXT(B29,"0.00")&amp;"mm.json"</f>
        <v>FORMFUTURA AppoloX ASA Hardened Steel @ 0.70mm.json</v>
      </c>
    </row>
    <row r="30" customFormat="false" ht="46.25" hidden="false" customHeight="false" outlineLevel="0" collapsed="false">
      <c r="A30" s="21" t="s">
        <v>78</v>
      </c>
      <c r="B30" s="12" t="n">
        <v>0.35</v>
      </c>
      <c r="C30" s="12" t="s">
        <v>76</v>
      </c>
      <c r="D30" s="12" t="s">
        <v>61</v>
      </c>
      <c r="E30" s="12" t="n">
        <v>0</v>
      </c>
      <c r="F30" s="12" t="n">
        <v>140</v>
      </c>
      <c r="G30" s="12" t="n">
        <v>28</v>
      </c>
      <c r="H30" s="12" t="n">
        <v>235</v>
      </c>
      <c r="I30" s="12" t="n">
        <v>90</v>
      </c>
      <c r="J30" s="12" t="n">
        <v>1.4</v>
      </c>
      <c r="K30" s="12" t="n">
        <v>50</v>
      </c>
      <c r="L30" s="12" t="n">
        <v>96</v>
      </c>
      <c r="M30" s="1" t="n">
        <v>12</v>
      </c>
      <c r="N30" s="12" t="n">
        <v>40</v>
      </c>
      <c r="O30" s="12" t="n">
        <v>1.07</v>
      </c>
      <c r="P30" s="22" t="s">
        <v>65</v>
      </c>
      <c r="Q30" s="20" t="s">
        <v>77</v>
      </c>
      <c r="R30" s="1" t="str">
        <f aca="false">A30&amp;" @ "&amp;TEXT(B30,"0.00")&amp;"mm.json"</f>
        <v>FORMFUTURA AppoloX ASA Brass @ 0.35mm.json</v>
      </c>
    </row>
    <row r="31" customFormat="false" ht="46.25" hidden="false" customHeight="false" outlineLevel="0" collapsed="false">
      <c r="A31" s="21" t="s">
        <v>78</v>
      </c>
      <c r="B31" s="12" t="n">
        <v>0.5</v>
      </c>
      <c r="C31" s="12" t="s">
        <v>76</v>
      </c>
      <c r="D31" s="12" t="s">
        <v>62</v>
      </c>
      <c r="E31" s="12" t="n">
        <v>0</v>
      </c>
      <c r="F31" s="12" t="n">
        <v>140</v>
      </c>
      <c r="G31" s="12" t="n">
        <v>28</v>
      </c>
      <c r="H31" s="12" t="n">
        <v>235</v>
      </c>
      <c r="I31" s="12" t="n">
        <v>90</v>
      </c>
      <c r="J31" s="12" t="n">
        <v>1.4</v>
      </c>
      <c r="K31" s="12" t="n">
        <v>50</v>
      </c>
      <c r="L31" s="12" t="n">
        <v>96</v>
      </c>
      <c r="M31" s="1" t="n">
        <v>12</v>
      </c>
      <c r="N31" s="12" t="n">
        <v>40</v>
      </c>
      <c r="O31" s="12" t="n">
        <v>1.07</v>
      </c>
      <c r="P31" s="22" t="s">
        <v>65</v>
      </c>
      <c r="Q31" s="20" t="s">
        <v>77</v>
      </c>
      <c r="R31" s="1" t="str">
        <f aca="false">A31&amp;" @ "&amp;TEXT(B31,"0.00")&amp;"mm.json"</f>
        <v>FORMFUTURA AppoloX ASA Brass @ 0.50mm.json</v>
      </c>
    </row>
    <row r="32" customFormat="false" ht="46.25" hidden="false" customHeight="false" outlineLevel="0" collapsed="false">
      <c r="A32" s="15" t="s">
        <v>79</v>
      </c>
      <c r="B32" s="17" t="n">
        <v>0.25</v>
      </c>
      <c r="C32" s="17" t="s">
        <v>80</v>
      </c>
      <c r="D32" s="17" t="s">
        <v>58</v>
      </c>
      <c r="E32" s="17" t="n">
        <v>0.2</v>
      </c>
      <c r="F32" s="17" t="n">
        <v>120</v>
      </c>
      <c r="G32" s="17" t="n">
        <v>28</v>
      </c>
      <c r="H32" s="17" t="n">
        <v>205</v>
      </c>
      <c r="I32" s="17" t="n">
        <v>55</v>
      </c>
      <c r="J32" s="17" t="n">
        <v>2.5</v>
      </c>
      <c r="K32" s="17" t="n">
        <v>55</v>
      </c>
      <c r="L32" s="17" t="n">
        <v>100</v>
      </c>
      <c r="M32" s="1" t="n">
        <v>12</v>
      </c>
      <c r="N32" s="17" t="n">
        <v>40</v>
      </c>
      <c r="O32" s="17" t="n">
        <v>1.23</v>
      </c>
      <c r="P32" s="20" t="s">
        <v>59</v>
      </c>
      <c r="Q32" s="20" t="s">
        <v>77</v>
      </c>
      <c r="R32" s="1" t="str">
        <f aca="false">A32&amp;" @ "&amp;TEXT(B32,"0.00")&amp;"mm.json"</f>
        <v>FORMFUTURA Aquasolve PVA Hardened Steel @ 0.25mm.json</v>
      </c>
    </row>
    <row r="33" customFormat="false" ht="46.25" hidden="false" customHeight="false" outlineLevel="0" collapsed="false">
      <c r="A33" s="21" t="s">
        <v>79</v>
      </c>
      <c r="B33" s="12" t="n">
        <v>0.35</v>
      </c>
      <c r="C33" s="12" t="s">
        <v>80</v>
      </c>
      <c r="D33" s="12" t="s">
        <v>61</v>
      </c>
      <c r="E33" s="12" t="n">
        <v>0.2</v>
      </c>
      <c r="F33" s="12" t="n">
        <v>120</v>
      </c>
      <c r="G33" s="12" t="n">
        <v>28</v>
      </c>
      <c r="H33" s="12" t="n">
        <v>205</v>
      </c>
      <c r="I33" s="12" t="n">
        <v>55</v>
      </c>
      <c r="J33" s="12" t="n">
        <v>2.5</v>
      </c>
      <c r="K33" s="12" t="n">
        <v>55</v>
      </c>
      <c r="L33" s="12" t="n">
        <v>100</v>
      </c>
      <c r="M33" s="1" t="n">
        <v>12</v>
      </c>
      <c r="N33" s="12" t="n">
        <v>40</v>
      </c>
      <c r="O33" s="12" t="n">
        <v>1.23</v>
      </c>
      <c r="P33" s="22" t="s">
        <v>59</v>
      </c>
      <c r="Q33" s="20" t="s">
        <v>77</v>
      </c>
      <c r="R33" s="1" t="str">
        <f aca="false">A33&amp;" @ "&amp;TEXT(B33,"0.00")&amp;"mm.json"</f>
        <v>FORMFUTURA Aquasolve PVA Hardened Steel @ 0.35mm.json</v>
      </c>
    </row>
    <row r="34" customFormat="false" ht="46.25" hidden="false" customHeight="false" outlineLevel="0" collapsed="false">
      <c r="A34" s="21" t="s">
        <v>79</v>
      </c>
      <c r="B34" s="12" t="n">
        <v>0.5</v>
      </c>
      <c r="C34" s="12" t="s">
        <v>80</v>
      </c>
      <c r="D34" s="12" t="s">
        <v>62</v>
      </c>
      <c r="E34" s="12" t="n">
        <v>0.2</v>
      </c>
      <c r="F34" s="12" t="n">
        <v>120</v>
      </c>
      <c r="G34" s="12" t="n">
        <v>28</v>
      </c>
      <c r="H34" s="12" t="n">
        <v>205</v>
      </c>
      <c r="I34" s="12" t="n">
        <v>55</v>
      </c>
      <c r="J34" s="12" t="n">
        <v>2.5</v>
      </c>
      <c r="K34" s="12" t="n">
        <v>55</v>
      </c>
      <c r="L34" s="12" t="n">
        <v>100</v>
      </c>
      <c r="M34" s="1" t="n">
        <v>12</v>
      </c>
      <c r="N34" s="12" t="n">
        <v>40</v>
      </c>
      <c r="O34" s="12" t="n">
        <v>1.23</v>
      </c>
      <c r="P34" s="22" t="s">
        <v>59</v>
      </c>
      <c r="Q34" s="20" t="s">
        <v>77</v>
      </c>
      <c r="R34" s="1" t="str">
        <f aca="false">A34&amp;" @ "&amp;TEXT(B34,"0.00")&amp;"mm.json"</f>
        <v>FORMFUTURA Aquasolve PVA Hardened Steel @ 0.50mm.json</v>
      </c>
    </row>
    <row r="35" customFormat="false" ht="46.25" hidden="false" customHeight="false" outlineLevel="0" collapsed="false">
      <c r="A35" s="21" t="s">
        <v>79</v>
      </c>
      <c r="B35" s="12" t="n">
        <v>0.7</v>
      </c>
      <c r="C35" s="12" t="s">
        <v>80</v>
      </c>
      <c r="D35" s="12" t="s">
        <v>63</v>
      </c>
      <c r="E35" s="12" t="n">
        <v>0.2</v>
      </c>
      <c r="F35" s="12" t="n">
        <v>120</v>
      </c>
      <c r="G35" s="12" t="n">
        <v>28</v>
      </c>
      <c r="H35" s="12" t="n">
        <v>205</v>
      </c>
      <c r="I35" s="12" t="n">
        <v>55</v>
      </c>
      <c r="J35" s="12" t="n">
        <v>2.5</v>
      </c>
      <c r="K35" s="12" t="n">
        <v>55</v>
      </c>
      <c r="L35" s="12" t="n">
        <v>100</v>
      </c>
      <c r="M35" s="1" t="n">
        <v>12</v>
      </c>
      <c r="N35" s="12" t="n">
        <v>40</v>
      </c>
      <c r="O35" s="12" t="n">
        <v>1.23</v>
      </c>
      <c r="P35" s="22" t="s">
        <v>59</v>
      </c>
      <c r="Q35" s="20" t="s">
        <v>77</v>
      </c>
      <c r="R35" s="1" t="str">
        <f aca="false">A35&amp;" @ "&amp;TEXT(B35,"0.00")&amp;"mm.json"</f>
        <v>FORMFUTURA Aquasolve PVA Hardened Steel @ 0.70mm.json</v>
      </c>
    </row>
    <row r="36" customFormat="false" ht="46.25" hidden="false" customHeight="false" outlineLevel="0" collapsed="false">
      <c r="A36" s="21" t="s">
        <v>81</v>
      </c>
      <c r="B36" s="12" t="n">
        <v>0.35</v>
      </c>
      <c r="C36" s="12" t="s">
        <v>80</v>
      </c>
      <c r="D36" s="12" t="s">
        <v>61</v>
      </c>
      <c r="E36" s="12" t="n">
        <v>0.2</v>
      </c>
      <c r="F36" s="12" t="n">
        <v>120</v>
      </c>
      <c r="G36" s="12" t="n">
        <v>28</v>
      </c>
      <c r="H36" s="12" t="n">
        <v>195</v>
      </c>
      <c r="I36" s="12" t="n">
        <v>55</v>
      </c>
      <c r="J36" s="12" t="n">
        <v>2.5</v>
      </c>
      <c r="K36" s="12" t="n">
        <v>55</v>
      </c>
      <c r="L36" s="12" t="n">
        <v>100</v>
      </c>
      <c r="M36" s="1" t="n">
        <v>12</v>
      </c>
      <c r="N36" s="12" t="n">
        <v>40</v>
      </c>
      <c r="O36" s="12" t="n">
        <v>1.23</v>
      </c>
      <c r="P36" s="22" t="s">
        <v>65</v>
      </c>
      <c r="Q36" s="20" t="s">
        <v>77</v>
      </c>
      <c r="R36" s="1" t="str">
        <f aca="false">A36&amp;" @ "&amp;TEXT(B36,"0.00")&amp;"mm.json"</f>
        <v>FORMFUTURA Aquasolve PVA Brass @ 0.35mm.json</v>
      </c>
    </row>
    <row r="37" customFormat="false" ht="46.25" hidden="false" customHeight="false" outlineLevel="0" collapsed="false">
      <c r="A37" s="21" t="s">
        <v>81</v>
      </c>
      <c r="B37" s="12" t="n">
        <v>0.5</v>
      </c>
      <c r="C37" s="12" t="s">
        <v>80</v>
      </c>
      <c r="D37" s="12" t="s">
        <v>62</v>
      </c>
      <c r="E37" s="12" t="n">
        <v>0.2</v>
      </c>
      <c r="F37" s="12" t="n">
        <v>120</v>
      </c>
      <c r="G37" s="12" t="n">
        <v>28</v>
      </c>
      <c r="H37" s="12" t="n">
        <v>195</v>
      </c>
      <c r="I37" s="12" t="n">
        <v>55</v>
      </c>
      <c r="J37" s="12" t="n">
        <v>2.5</v>
      </c>
      <c r="K37" s="12" t="n">
        <v>55</v>
      </c>
      <c r="L37" s="12" t="n">
        <v>100</v>
      </c>
      <c r="M37" s="1" t="n">
        <v>12</v>
      </c>
      <c r="N37" s="12" t="n">
        <v>40</v>
      </c>
      <c r="O37" s="12" t="n">
        <v>1.23</v>
      </c>
      <c r="P37" s="22" t="s">
        <v>65</v>
      </c>
      <c r="Q37" s="20" t="s">
        <v>77</v>
      </c>
      <c r="R37" s="1" t="str">
        <f aca="false">A37&amp;" @ "&amp;TEXT(B37,"0.00")&amp;"mm.json"</f>
        <v>FORMFUTURA Aquasolve PVA Brass @ 0.50mm.json</v>
      </c>
    </row>
    <row r="38" customFormat="false" ht="46.25" hidden="false" customHeight="false" outlineLevel="0" collapsed="false">
      <c r="A38" s="17" t="s">
        <v>82</v>
      </c>
      <c r="B38" s="17" t="n">
        <v>0.25</v>
      </c>
      <c r="C38" s="17" t="s">
        <v>57</v>
      </c>
      <c r="D38" s="17" t="s">
        <v>58</v>
      </c>
      <c r="E38" s="17" t="n">
        <v>0.05</v>
      </c>
      <c r="F38" s="17" t="n">
        <v>120</v>
      </c>
      <c r="G38" s="17" t="n">
        <v>28</v>
      </c>
      <c r="H38" s="17" t="n">
        <v>215</v>
      </c>
      <c r="I38" s="17" t="n">
        <v>55</v>
      </c>
      <c r="J38" s="17" t="n">
        <v>1</v>
      </c>
      <c r="K38" s="17" t="n">
        <v>40</v>
      </c>
      <c r="L38" s="17" t="n">
        <v>100</v>
      </c>
      <c r="M38" s="1" t="n">
        <v>12</v>
      </c>
      <c r="N38" s="17" t="n">
        <v>100</v>
      </c>
      <c r="O38" s="17" t="n">
        <v>1.22</v>
      </c>
      <c r="P38" s="20" t="s">
        <v>59</v>
      </c>
      <c r="Q38" s="20" t="s">
        <v>77</v>
      </c>
      <c r="R38" s="19" t="str">
        <f aca="false">A38&amp;" @ "&amp;TEXT(B38,"0.00")&amp;"mm.json"</f>
        <v>FORMFUTURA ePLA Hardened Steel @ 0.25mm.json</v>
      </c>
    </row>
    <row r="39" customFormat="false" ht="46.25" hidden="false" customHeight="false" outlineLevel="0" collapsed="false">
      <c r="A39" s="12" t="s">
        <v>82</v>
      </c>
      <c r="B39" s="12" t="n">
        <v>0.35</v>
      </c>
      <c r="C39" s="12" t="s">
        <v>57</v>
      </c>
      <c r="D39" s="12" t="s">
        <v>61</v>
      </c>
      <c r="E39" s="12" t="n">
        <v>0.05</v>
      </c>
      <c r="F39" s="12" t="n">
        <v>120</v>
      </c>
      <c r="G39" s="12" t="n">
        <v>28</v>
      </c>
      <c r="H39" s="12" t="n">
        <v>215</v>
      </c>
      <c r="I39" s="12" t="n">
        <v>55</v>
      </c>
      <c r="J39" s="12" t="n">
        <v>1</v>
      </c>
      <c r="K39" s="12" t="n">
        <v>40</v>
      </c>
      <c r="L39" s="12" t="n">
        <v>100</v>
      </c>
      <c r="M39" s="1" t="n">
        <v>12</v>
      </c>
      <c r="N39" s="12" t="n">
        <v>100</v>
      </c>
      <c r="O39" s="12" t="n">
        <v>1.22</v>
      </c>
      <c r="P39" s="22" t="s">
        <v>59</v>
      </c>
      <c r="Q39" s="20" t="s">
        <v>77</v>
      </c>
      <c r="R39" s="1" t="str">
        <f aca="false">A39&amp;" @ "&amp;TEXT(B39,"0.00")&amp;"mm.json"</f>
        <v>FORMFUTURA ePLA Hardened Steel @ 0.35mm.json</v>
      </c>
    </row>
    <row r="40" customFormat="false" ht="46.25" hidden="false" customHeight="false" outlineLevel="0" collapsed="false">
      <c r="A40" s="12" t="s">
        <v>82</v>
      </c>
      <c r="B40" s="12" t="n">
        <v>0.5</v>
      </c>
      <c r="C40" s="12" t="s">
        <v>57</v>
      </c>
      <c r="D40" s="12" t="s">
        <v>62</v>
      </c>
      <c r="E40" s="12" t="n">
        <v>0.05</v>
      </c>
      <c r="F40" s="12" t="n">
        <v>120</v>
      </c>
      <c r="G40" s="12" t="n">
        <v>28</v>
      </c>
      <c r="H40" s="12" t="n">
        <v>215</v>
      </c>
      <c r="I40" s="12" t="n">
        <v>55</v>
      </c>
      <c r="J40" s="12" t="n">
        <v>1</v>
      </c>
      <c r="K40" s="12" t="n">
        <v>40</v>
      </c>
      <c r="L40" s="12" t="n">
        <v>100</v>
      </c>
      <c r="M40" s="1" t="n">
        <v>12</v>
      </c>
      <c r="N40" s="12" t="n">
        <v>100</v>
      </c>
      <c r="O40" s="12" t="n">
        <v>1.22</v>
      </c>
      <c r="P40" s="22" t="s">
        <v>59</v>
      </c>
      <c r="Q40" s="20" t="s">
        <v>77</v>
      </c>
      <c r="R40" s="1" t="str">
        <f aca="false">A40&amp;" @ "&amp;TEXT(B40,"0.00")&amp;"mm.json"</f>
        <v>FORMFUTURA ePLA Hardened Steel @ 0.50mm.json</v>
      </c>
    </row>
    <row r="41" customFormat="false" ht="46.25" hidden="false" customHeight="false" outlineLevel="0" collapsed="false">
      <c r="A41" s="12" t="s">
        <v>82</v>
      </c>
      <c r="B41" s="12" t="n">
        <v>0.7</v>
      </c>
      <c r="C41" s="12" t="s">
        <v>57</v>
      </c>
      <c r="D41" s="12" t="s">
        <v>63</v>
      </c>
      <c r="E41" s="12" t="n">
        <v>0.05</v>
      </c>
      <c r="F41" s="12" t="n">
        <v>120</v>
      </c>
      <c r="G41" s="12" t="n">
        <v>28</v>
      </c>
      <c r="H41" s="12" t="n">
        <v>215</v>
      </c>
      <c r="I41" s="12" t="n">
        <v>55</v>
      </c>
      <c r="J41" s="12" t="n">
        <v>1</v>
      </c>
      <c r="K41" s="12" t="n">
        <v>40</v>
      </c>
      <c r="L41" s="12" t="n">
        <v>100</v>
      </c>
      <c r="M41" s="1" t="n">
        <v>12</v>
      </c>
      <c r="N41" s="12" t="n">
        <v>100</v>
      </c>
      <c r="O41" s="12" t="n">
        <v>1.22</v>
      </c>
      <c r="P41" s="22" t="s">
        <v>59</v>
      </c>
      <c r="Q41" s="20" t="s">
        <v>77</v>
      </c>
      <c r="R41" s="1" t="str">
        <f aca="false">A41&amp;" @ "&amp;TEXT(B41,"0.00")&amp;"mm.json"</f>
        <v>FORMFUTURA ePLA Hardened Steel @ 0.70mm.json</v>
      </c>
    </row>
    <row r="42" customFormat="false" ht="46.25" hidden="false" customHeight="false" outlineLevel="0" collapsed="false">
      <c r="A42" s="12" t="s">
        <v>83</v>
      </c>
      <c r="B42" s="12" t="n">
        <v>0.35</v>
      </c>
      <c r="C42" s="12" t="s">
        <v>57</v>
      </c>
      <c r="D42" s="12" t="s">
        <v>61</v>
      </c>
      <c r="E42" s="12" t="n">
        <v>0.05</v>
      </c>
      <c r="F42" s="12" t="n">
        <v>120</v>
      </c>
      <c r="G42" s="12" t="n">
        <v>28</v>
      </c>
      <c r="H42" s="12" t="n">
        <v>205</v>
      </c>
      <c r="I42" s="12" t="n">
        <v>55</v>
      </c>
      <c r="J42" s="12" t="n">
        <v>1</v>
      </c>
      <c r="K42" s="12" t="n">
        <v>40</v>
      </c>
      <c r="L42" s="12" t="n">
        <v>100</v>
      </c>
      <c r="M42" s="1" t="n">
        <v>12</v>
      </c>
      <c r="N42" s="12" t="n">
        <v>100</v>
      </c>
      <c r="O42" s="12" t="n">
        <v>1.22</v>
      </c>
      <c r="P42" s="22" t="s">
        <v>65</v>
      </c>
      <c r="Q42" s="20" t="s">
        <v>77</v>
      </c>
      <c r="R42" s="1" t="str">
        <f aca="false">A42&amp;" @ "&amp;TEXT(B42,"0.00")&amp;"mm.json"</f>
        <v>FORMFUTURA ePLA Brass @ 0.35mm.json</v>
      </c>
    </row>
    <row r="43" customFormat="false" ht="46.25" hidden="false" customHeight="false" outlineLevel="0" collapsed="false">
      <c r="A43" s="12" t="s">
        <v>83</v>
      </c>
      <c r="B43" s="12" t="n">
        <v>0.5</v>
      </c>
      <c r="C43" s="12" t="s">
        <v>57</v>
      </c>
      <c r="D43" s="12" t="s">
        <v>62</v>
      </c>
      <c r="E43" s="12" t="n">
        <v>0.05</v>
      </c>
      <c r="F43" s="12" t="n">
        <v>120</v>
      </c>
      <c r="G43" s="12" t="n">
        <v>28</v>
      </c>
      <c r="H43" s="12" t="n">
        <v>205</v>
      </c>
      <c r="I43" s="12" t="n">
        <v>55</v>
      </c>
      <c r="J43" s="12" t="n">
        <v>1</v>
      </c>
      <c r="K43" s="12" t="n">
        <v>40</v>
      </c>
      <c r="L43" s="12" t="n">
        <v>100</v>
      </c>
      <c r="M43" s="1" t="n">
        <v>12</v>
      </c>
      <c r="N43" s="12" t="n">
        <v>100</v>
      </c>
      <c r="O43" s="12" t="n">
        <v>1.22</v>
      </c>
      <c r="P43" s="22" t="s">
        <v>65</v>
      </c>
      <c r="Q43" s="20" t="s">
        <v>77</v>
      </c>
      <c r="R43" s="1" t="str">
        <f aca="false">A43&amp;" @ "&amp;TEXT(B43,"0.00")&amp;"mm.json"</f>
        <v>FORMFUTURA ePLA Brass @ 0.50mm.json</v>
      </c>
    </row>
    <row r="44" customFormat="false" ht="46.25" hidden="false" customHeight="false" outlineLevel="0" collapsed="false">
      <c r="A44" s="17" t="s">
        <v>84</v>
      </c>
      <c r="B44" s="17" t="n">
        <v>0.25</v>
      </c>
      <c r="C44" s="17" t="s">
        <v>85</v>
      </c>
      <c r="D44" s="17" t="s">
        <v>58</v>
      </c>
      <c r="E44" s="17" t="n">
        <v>0</v>
      </c>
      <c r="F44" s="17" t="n">
        <v>140</v>
      </c>
      <c r="G44" s="17" t="n">
        <v>28</v>
      </c>
      <c r="H44" s="17" t="n">
        <v>250</v>
      </c>
      <c r="I44" s="17" t="n">
        <v>85</v>
      </c>
      <c r="J44" s="17" t="n">
        <v>2</v>
      </c>
      <c r="K44" s="17" t="n">
        <v>50</v>
      </c>
      <c r="L44" s="17" t="n">
        <v>97</v>
      </c>
      <c r="M44" s="1" t="n">
        <v>12</v>
      </c>
      <c r="N44" s="17" t="n">
        <v>40</v>
      </c>
      <c r="O44" s="17" t="n">
        <v>1.1</v>
      </c>
      <c r="P44" s="20" t="s">
        <v>59</v>
      </c>
      <c r="Q44" s="20" t="s">
        <v>77</v>
      </c>
      <c r="R44" s="19" t="str">
        <f aca="false">A44&amp;" @ "&amp;TEXT(B44,"0.00")&amp;"mm.json"</f>
        <v>FORMFUTURA TitanX ABS Hardened Steel @ 0.25mm.json</v>
      </c>
    </row>
    <row r="45" customFormat="false" ht="46.25" hidden="false" customHeight="false" outlineLevel="0" collapsed="false">
      <c r="A45" s="12" t="s">
        <v>84</v>
      </c>
      <c r="B45" s="12" t="n">
        <v>0.35</v>
      </c>
      <c r="C45" s="12" t="s">
        <v>85</v>
      </c>
      <c r="D45" s="12" t="s">
        <v>61</v>
      </c>
      <c r="E45" s="12" t="n">
        <v>0</v>
      </c>
      <c r="F45" s="12" t="n">
        <v>140</v>
      </c>
      <c r="G45" s="12" t="n">
        <v>28</v>
      </c>
      <c r="H45" s="12" t="n">
        <v>250</v>
      </c>
      <c r="I45" s="12" t="n">
        <v>85</v>
      </c>
      <c r="J45" s="12" t="n">
        <v>2</v>
      </c>
      <c r="K45" s="12" t="n">
        <v>50</v>
      </c>
      <c r="L45" s="12" t="n">
        <v>97</v>
      </c>
      <c r="M45" s="1" t="n">
        <v>12</v>
      </c>
      <c r="N45" s="12" t="n">
        <v>40</v>
      </c>
      <c r="O45" s="12" t="n">
        <v>1.1</v>
      </c>
      <c r="P45" s="22" t="s">
        <v>59</v>
      </c>
      <c r="Q45" s="20" t="s">
        <v>77</v>
      </c>
      <c r="R45" s="1" t="str">
        <f aca="false">A45&amp;" @ "&amp;TEXT(B45,"0.00")&amp;"mm.json"</f>
        <v>FORMFUTURA TitanX ABS Hardened Steel @ 0.35mm.json</v>
      </c>
    </row>
    <row r="46" customFormat="false" ht="46.25" hidden="false" customHeight="false" outlineLevel="0" collapsed="false">
      <c r="A46" s="12" t="s">
        <v>84</v>
      </c>
      <c r="B46" s="12" t="n">
        <v>0.5</v>
      </c>
      <c r="C46" s="12" t="s">
        <v>85</v>
      </c>
      <c r="D46" s="12" t="s">
        <v>62</v>
      </c>
      <c r="E46" s="12" t="n">
        <v>0</v>
      </c>
      <c r="F46" s="12" t="n">
        <v>140</v>
      </c>
      <c r="G46" s="12" t="n">
        <v>28</v>
      </c>
      <c r="H46" s="12" t="n">
        <v>250</v>
      </c>
      <c r="I46" s="12" t="n">
        <v>85</v>
      </c>
      <c r="J46" s="12" t="n">
        <v>2</v>
      </c>
      <c r="K46" s="12" t="n">
        <v>50</v>
      </c>
      <c r="L46" s="12" t="n">
        <v>97</v>
      </c>
      <c r="M46" s="1" t="n">
        <v>12</v>
      </c>
      <c r="N46" s="12" t="n">
        <v>40</v>
      </c>
      <c r="O46" s="12" t="n">
        <v>1.1</v>
      </c>
      <c r="P46" s="22" t="s">
        <v>59</v>
      </c>
      <c r="Q46" s="20" t="s">
        <v>77</v>
      </c>
      <c r="R46" s="1" t="str">
        <f aca="false">A46&amp;" @ "&amp;TEXT(B46,"0.00")&amp;"mm.json"</f>
        <v>FORMFUTURA TitanX ABS Hardened Steel @ 0.50mm.json</v>
      </c>
    </row>
    <row r="47" customFormat="false" ht="46.25" hidden="false" customHeight="false" outlineLevel="0" collapsed="false">
      <c r="A47" s="12" t="s">
        <v>84</v>
      </c>
      <c r="B47" s="12" t="n">
        <v>0.7</v>
      </c>
      <c r="C47" s="12" t="s">
        <v>85</v>
      </c>
      <c r="D47" s="12" t="s">
        <v>63</v>
      </c>
      <c r="E47" s="12" t="n">
        <v>0</v>
      </c>
      <c r="F47" s="12" t="n">
        <v>140</v>
      </c>
      <c r="G47" s="12" t="n">
        <v>28</v>
      </c>
      <c r="H47" s="12" t="n">
        <v>250</v>
      </c>
      <c r="I47" s="12" t="n">
        <v>85</v>
      </c>
      <c r="J47" s="12" t="n">
        <v>2</v>
      </c>
      <c r="K47" s="12" t="n">
        <v>50</v>
      </c>
      <c r="L47" s="12" t="n">
        <v>97</v>
      </c>
      <c r="M47" s="1" t="n">
        <v>12</v>
      </c>
      <c r="N47" s="12" t="n">
        <v>40</v>
      </c>
      <c r="O47" s="12" t="n">
        <v>1.1</v>
      </c>
      <c r="P47" s="22" t="s">
        <v>59</v>
      </c>
      <c r="Q47" s="20" t="s">
        <v>77</v>
      </c>
      <c r="R47" s="1" t="str">
        <f aca="false">A47&amp;" @ "&amp;TEXT(B47,"0.00")&amp;"mm.json"</f>
        <v>FORMFUTURA TitanX ABS Hardened Steel @ 0.70mm.json</v>
      </c>
    </row>
    <row r="48" customFormat="false" ht="46.25" hidden="false" customHeight="false" outlineLevel="0" collapsed="false">
      <c r="A48" s="12" t="s">
        <v>86</v>
      </c>
      <c r="B48" s="12" t="n">
        <v>0.35</v>
      </c>
      <c r="C48" s="12" t="s">
        <v>85</v>
      </c>
      <c r="D48" s="12" t="s">
        <v>61</v>
      </c>
      <c r="E48" s="12" t="n">
        <v>0</v>
      </c>
      <c r="F48" s="12" t="n">
        <v>140</v>
      </c>
      <c r="G48" s="12" t="n">
        <v>28</v>
      </c>
      <c r="H48" s="12" t="n">
        <v>245</v>
      </c>
      <c r="I48" s="12" t="n">
        <v>85</v>
      </c>
      <c r="J48" s="12" t="n">
        <v>2</v>
      </c>
      <c r="K48" s="12" t="n">
        <v>50</v>
      </c>
      <c r="L48" s="12" t="n">
        <v>97</v>
      </c>
      <c r="M48" s="1" t="n">
        <v>12</v>
      </c>
      <c r="N48" s="12" t="n">
        <v>40</v>
      </c>
      <c r="O48" s="12" t="n">
        <v>1.1</v>
      </c>
      <c r="P48" s="22" t="s">
        <v>65</v>
      </c>
      <c r="Q48" s="20" t="s">
        <v>77</v>
      </c>
      <c r="R48" s="1" t="str">
        <f aca="false">A48&amp;" @ "&amp;TEXT(B48,"0.00")&amp;"mm.json"</f>
        <v>FORMFUTURA TitanX ABS Brass @ 0.35mm.json</v>
      </c>
    </row>
    <row r="49" customFormat="false" ht="46.25" hidden="false" customHeight="false" outlineLevel="0" collapsed="false">
      <c r="A49" s="12" t="s">
        <v>86</v>
      </c>
      <c r="B49" s="12" t="n">
        <v>0.5</v>
      </c>
      <c r="C49" s="12" t="s">
        <v>85</v>
      </c>
      <c r="D49" s="12" t="s">
        <v>62</v>
      </c>
      <c r="E49" s="12" t="n">
        <v>0</v>
      </c>
      <c r="F49" s="12" t="n">
        <v>140</v>
      </c>
      <c r="G49" s="12" t="n">
        <v>28</v>
      </c>
      <c r="H49" s="12" t="n">
        <v>245</v>
      </c>
      <c r="I49" s="12" t="n">
        <v>85</v>
      </c>
      <c r="J49" s="12" t="n">
        <v>2</v>
      </c>
      <c r="K49" s="12" t="n">
        <v>50</v>
      </c>
      <c r="L49" s="12" t="n">
        <v>97</v>
      </c>
      <c r="M49" s="1" t="n">
        <v>12</v>
      </c>
      <c r="N49" s="12" t="n">
        <v>40</v>
      </c>
      <c r="O49" s="12" t="n">
        <v>1.1</v>
      </c>
      <c r="P49" s="22" t="s">
        <v>65</v>
      </c>
      <c r="Q49" s="20" t="s">
        <v>77</v>
      </c>
      <c r="R49" s="1" t="str">
        <f aca="false">A49&amp;" @ "&amp;TEXT(B49,"0.00")&amp;"mm.json"</f>
        <v>FORMFUTURA TitanX ABS Brass @ 0.50mm.json</v>
      </c>
    </row>
    <row r="50" customFormat="false" ht="46.25" hidden="false" customHeight="false" outlineLevel="0" collapsed="false">
      <c r="A50" s="17" t="s">
        <v>87</v>
      </c>
      <c r="B50" s="17" t="n">
        <v>0.25</v>
      </c>
      <c r="C50" s="12" t="s">
        <v>85</v>
      </c>
      <c r="D50" s="17" t="s">
        <v>58</v>
      </c>
      <c r="E50" s="17" t="n">
        <v>0.05</v>
      </c>
      <c r="F50" s="17" t="n">
        <v>140</v>
      </c>
      <c r="G50" s="17" t="n">
        <v>28</v>
      </c>
      <c r="H50" s="17" t="n">
        <v>275</v>
      </c>
      <c r="I50" s="17" t="n">
        <v>90</v>
      </c>
      <c r="J50" s="17" t="n">
        <v>1.6</v>
      </c>
      <c r="K50" s="17" t="n">
        <v>50</v>
      </c>
      <c r="L50" s="17" t="n">
        <v>100</v>
      </c>
      <c r="M50" s="1" t="n">
        <v>12</v>
      </c>
      <c r="N50" s="17" t="n">
        <v>40</v>
      </c>
      <c r="O50" s="17" t="n">
        <v>1.08</v>
      </c>
      <c r="P50" s="20" t="s">
        <v>59</v>
      </c>
      <c r="Q50" s="20" t="s">
        <v>88</v>
      </c>
      <c r="R50" s="19" t="str">
        <f aca="false">A50&amp;" @ "&amp;TEXT(B50,"0.00")&amp;"mm.json"</f>
        <v>Ultrafuse ABS Fusion+ Hardened Steel @ 0.25mm.json</v>
      </c>
    </row>
    <row r="51" customFormat="false" ht="46.25" hidden="false" customHeight="false" outlineLevel="0" collapsed="false">
      <c r="A51" s="12" t="s">
        <v>87</v>
      </c>
      <c r="B51" s="12" t="n">
        <v>0.35</v>
      </c>
      <c r="C51" s="12" t="s">
        <v>85</v>
      </c>
      <c r="D51" s="12" t="s">
        <v>61</v>
      </c>
      <c r="E51" s="12" t="n">
        <v>0.05</v>
      </c>
      <c r="F51" s="12" t="n">
        <v>140</v>
      </c>
      <c r="G51" s="12" t="n">
        <v>28</v>
      </c>
      <c r="H51" s="12" t="n">
        <v>275</v>
      </c>
      <c r="I51" s="12" t="n">
        <v>90</v>
      </c>
      <c r="J51" s="12" t="n">
        <v>1.6</v>
      </c>
      <c r="K51" s="12" t="n">
        <v>50</v>
      </c>
      <c r="L51" s="12" t="n">
        <v>100</v>
      </c>
      <c r="M51" s="1" t="n">
        <v>12</v>
      </c>
      <c r="N51" s="12" t="n">
        <v>40</v>
      </c>
      <c r="O51" s="12" t="n">
        <v>1.08</v>
      </c>
      <c r="P51" s="22" t="s">
        <v>59</v>
      </c>
      <c r="Q51" s="20" t="s">
        <v>88</v>
      </c>
      <c r="R51" s="1" t="str">
        <f aca="false">A51&amp;" @ "&amp;TEXT(B51,"0.00")&amp;"mm.json"</f>
        <v>Ultrafuse ABS Fusion+ Hardened Steel @ 0.35mm.json</v>
      </c>
    </row>
    <row r="52" customFormat="false" ht="46.25" hidden="false" customHeight="false" outlineLevel="0" collapsed="false">
      <c r="A52" s="12" t="s">
        <v>87</v>
      </c>
      <c r="B52" s="12" t="n">
        <v>0.5</v>
      </c>
      <c r="C52" s="12" t="s">
        <v>85</v>
      </c>
      <c r="D52" s="12" t="s">
        <v>62</v>
      </c>
      <c r="E52" s="12" t="n">
        <v>0.05</v>
      </c>
      <c r="F52" s="12" t="n">
        <v>140</v>
      </c>
      <c r="G52" s="12" t="n">
        <v>28</v>
      </c>
      <c r="H52" s="12" t="n">
        <v>275</v>
      </c>
      <c r="I52" s="12" t="n">
        <v>90</v>
      </c>
      <c r="J52" s="12" t="n">
        <v>1.6</v>
      </c>
      <c r="K52" s="12" t="n">
        <v>50</v>
      </c>
      <c r="L52" s="12" t="n">
        <v>100</v>
      </c>
      <c r="M52" s="1" t="n">
        <v>12</v>
      </c>
      <c r="N52" s="12" t="n">
        <v>40</v>
      </c>
      <c r="O52" s="12" t="n">
        <v>1.08</v>
      </c>
      <c r="P52" s="22" t="s">
        <v>59</v>
      </c>
      <c r="Q52" s="20" t="s">
        <v>88</v>
      </c>
      <c r="R52" s="1" t="str">
        <f aca="false">A52&amp;" @ "&amp;TEXT(B52,"0.00")&amp;"mm.json"</f>
        <v>Ultrafuse ABS Fusion+ Hardened Steel @ 0.50mm.json</v>
      </c>
    </row>
    <row r="53" customFormat="false" ht="46.25" hidden="false" customHeight="false" outlineLevel="0" collapsed="false">
      <c r="A53" s="12" t="s">
        <v>87</v>
      </c>
      <c r="B53" s="12" t="n">
        <v>0.7</v>
      </c>
      <c r="C53" s="12" t="s">
        <v>85</v>
      </c>
      <c r="D53" s="12" t="s">
        <v>63</v>
      </c>
      <c r="E53" s="12" t="n">
        <v>0.05</v>
      </c>
      <c r="F53" s="12" t="n">
        <v>140</v>
      </c>
      <c r="G53" s="12" t="n">
        <v>28</v>
      </c>
      <c r="H53" s="12" t="n">
        <v>270</v>
      </c>
      <c r="I53" s="12" t="n">
        <v>90</v>
      </c>
      <c r="J53" s="12" t="n">
        <v>1.6</v>
      </c>
      <c r="K53" s="12" t="n">
        <v>50</v>
      </c>
      <c r="L53" s="12" t="n">
        <v>100</v>
      </c>
      <c r="M53" s="1" t="n">
        <v>12</v>
      </c>
      <c r="N53" s="12" t="n">
        <v>40</v>
      </c>
      <c r="O53" s="12" t="n">
        <v>1.08</v>
      </c>
      <c r="P53" s="22" t="s">
        <v>59</v>
      </c>
      <c r="Q53" s="20" t="s">
        <v>88</v>
      </c>
      <c r="R53" s="1" t="str">
        <f aca="false">A53&amp;" @ "&amp;TEXT(B53,"0.00")&amp;"mm.json"</f>
        <v>Ultrafuse ABS Fusion+ Hardened Steel @ 0.70mm.json</v>
      </c>
    </row>
    <row r="54" customFormat="false" ht="46.25" hidden="false" customHeight="false" outlineLevel="0" collapsed="false">
      <c r="A54" s="12" t="s">
        <v>89</v>
      </c>
      <c r="B54" s="12" t="n">
        <v>0.35</v>
      </c>
      <c r="C54" s="12" t="s">
        <v>85</v>
      </c>
      <c r="D54" s="12" t="s">
        <v>61</v>
      </c>
      <c r="E54" s="12" t="n">
        <v>0.05</v>
      </c>
      <c r="F54" s="12" t="n">
        <v>140</v>
      </c>
      <c r="G54" s="12" t="n">
        <v>28</v>
      </c>
      <c r="H54" s="12" t="n">
        <v>265</v>
      </c>
      <c r="I54" s="12" t="n">
        <v>90</v>
      </c>
      <c r="J54" s="12" t="n">
        <v>1.6</v>
      </c>
      <c r="K54" s="12" t="n">
        <v>50</v>
      </c>
      <c r="L54" s="12" t="n">
        <v>100</v>
      </c>
      <c r="M54" s="1" t="n">
        <v>12</v>
      </c>
      <c r="N54" s="12" t="n">
        <v>40</v>
      </c>
      <c r="O54" s="12" t="n">
        <v>1.08</v>
      </c>
      <c r="P54" s="22" t="s">
        <v>65</v>
      </c>
      <c r="Q54" s="20" t="s">
        <v>88</v>
      </c>
      <c r="R54" s="1" t="str">
        <f aca="false">A54&amp;" @ "&amp;TEXT(B54,"0.00")&amp;"mm.json"</f>
        <v>Ultrafuse ABS Fusion+ Brass @ 0.35mm.json</v>
      </c>
    </row>
    <row r="55" customFormat="false" ht="46.25" hidden="false" customHeight="false" outlineLevel="0" collapsed="false">
      <c r="A55" s="12" t="s">
        <v>89</v>
      </c>
      <c r="B55" s="12" t="n">
        <v>0.5</v>
      </c>
      <c r="C55" s="12" t="s">
        <v>85</v>
      </c>
      <c r="D55" s="12" t="s">
        <v>62</v>
      </c>
      <c r="E55" s="12" t="n">
        <v>0.05</v>
      </c>
      <c r="F55" s="12" t="n">
        <v>140</v>
      </c>
      <c r="G55" s="12" t="n">
        <v>28</v>
      </c>
      <c r="H55" s="12" t="n">
        <v>265</v>
      </c>
      <c r="I55" s="12" t="n">
        <v>90</v>
      </c>
      <c r="J55" s="12" t="n">
        <v>1.6</v>
      </c>
      <c r="K55" s="12" t="n">
        <v>50</v>
      </c>
      <c r="L55" s="12" t="n">
        <v>100</v>
      </c>
      <c r="M55" s="1" t="n">
        <v>12</v>
      </c>
      <c r="N55" s="12" t="n">
        <v>40</v>
      </c>
      <c r="O55" s="12" t="n">
        <v>1.08</v>
      </c>
      <c r="P55" s="22" t="s">
        <v>65</v>
      </c>
      <c r="Q55" s="20" t="s">
        <v>88</v>
      </c>
      <c r="R55" s="1" t="str">
        <f aca="false">A55&amp;" @ "&amp;TEXT(B55,"0.00")&amp;"mm.json"</f>
        <v>Ultrafuse ABS Fusion+ Brass @ 0.50mm.json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"/>
  <sheetViews>
    <sheetView showFormulas="false" showGridLines="true" showRowColHeaders="true" showZeros="true" rightToLeft="false" tabSelected="true" showOutlineSymbols="true" defaultGridColor="true" view="normal" topLeftCell="M1" colorId="64" zoomScale="90" zoomScaleNormal="90" zoomScalePageLayoutView="100" workbookViewId="0">
      <pane xSplit="0" ySplit="1" topLeftCell="A26" activePane="bottomLeft" state="frozen"/>
      <selection pane="topLeft" activeCell="M1" activeCellId="0" sqref="M1"/>
      <selection pane="bottomLeft" activeCell="Q36" activeCellId="0" sqref="Q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.75"/>
    <col collapsed="false" customWidth="true" hidden="false" outlineLevel="0" max="2" min="2" style="1" width="19.73"/>
    <col collapsed="false" customWidth="true" hidden="false" outlineLevel="0" max="3" min="3" style="1" width="29.37"/>
    <col collapsed="false" customWidth="true" hidden="false" outlineLevel="0" max="4" min="4" style="1" width="26.75"/>
    <col collapsed="false" customWidth="true" hidden="false" outlineLevel="0" max="5" min="5" style="1" width="28.2"/>
    <col collapsed="false" customWidth="true" hidden="false" outlineLevel="0" max="7" min="6" style="1" width="19.98"/>
    <col collapsed="false" customWidth="true" hidden="false" outlineLevel="0" max="8" min="8" style="1" width="20.24"/>
    <col collapsed="false" customWidth="true" hidden="false" outlineLevel="0" max="9" min="9" style="1" width="17.95"/>
    <col collapsed="false" customWidth="true" hidden="false" outlineLevel="0" max="10" min="10" style="1" width="13.91"/>
    <col collapsed="false" customWidth="true" hidden="false" outlineLevel="0" max="12" min="11" style="1" width="27.82"/>
    <col collapsed="false" customWidth="true" hidden="false" outlineLevel="0" max="14" min="13" style="1" width="11.53"/>
    <col collapsed="false" customWidth="true" hidden="false" outlineLevel="0" max="16" min="15" style="1" width="15.17"/>
    <col collapsed="false" customWidth="true" hidden="false" outlineLevel="0" max="17" min="17" style="1" width="68.07"/>
    <col collapsed="false" customWidth="true" hidden="false" outlineLevel="0" max="22" min="18" style="1" width="13"/>
  </cols>
  <sheetData>
    <row r="1" s="26" customFormat="true" ht="38.95" hidden="false" customHeight="false" outlineLevel="0" collapsed="false">
      <c r="A1" s="23" t="s">
        <v>39</v>
      </c>
      <c r="B1" s="23" t="s">
        <v>90</v>
      </c>
      <c r="C1" s="23" t="s">
        <v>40</v>
      </c>
      <c r="D1" s="23" t="s">
        <v>7</v>
      </c>
      <c r="E1" s="23" t="s">
        <v>41</v>
      </c>
      <c r="F1" s="23" t="s">
        <v>91</v>
      </c>
      <c r="G1" s="23" t="s">
        <v>47</v>
      </c>
      <c r="H1" s="23" t="s">
        <v>92</v>
      </c>
      <c r="I1" s="23" t="s">
        <v>48</v>
      </c>
      <c r="J1" s="23" t="s">
        <v>93</v>
      </c>
      <c r="K1" s="24" t="s">
        <v>94</v>
      </c>
      <c r="L1" s="23" t="s">
        <v>95</v>
      </c>
      <c r="M1" s="23" t="s">
        <v>96</v>
      </c>
      <c r="N1" s="23" t="s">
        <v>49</v>
      </c>
      <c r="O1" s="23" t="s">
        <v>97</v>
      </c>
      <c r="P1" s="23" t="s">
        <v>54</v>
      </c>
      <c r="Q1" s="23" t="s">
        <v>13</v>
      </c>
      <c r="R1" s="25"/>
      <c r="S1" s="25"/>
      <c r="T1" s="25"/>
      <c r="U1" s="25"/>
      <c r="V1" s="25"/>
      <c r="W1" s="1"/>
      <c r="X1" s="1"/>
      <c r="Y1" s="1"/>
    </row>
    <row r="2" customFormat="false" ht="45.75" hidden="false" customHeight="false" outlineLevel="0" collapsed="false">
      <c r="A2" s="27" t="s">
        <v>98</v>
      </c>
      <c r="B2" s="27" t="s">
        <v>99</v>
      </c>
      <c r="C2" s="28" t="n">
        <v>0.5</v>
      </c>
      <c r="D2" s="27" t="s">
        <v>100</v>
      </c>
      <c r="E2" s="29" t="s">
        <v>101</v>
      </c>
      <c r="F2" s="30" t="n">
        <v>1.05</v>
      </c>
      <c r="G2" s="27" t="n">
        <v>3</v>
      </c>
      <c r="H2" s="27" t="n">
        <v>0</v>
      </c>
      <c r="I2" s="28" t="n">
        <v>5</v>
      </c>
      <c r="J2" s="28" t="n">
        <v>6</v>
      </c>
      <c r="K2" s="28" t="n">
        <v>31.22</v>
      </c>
      <c r="L2" s="27" t="n">
        <v>0</v>
      </c>
      <c r="M2" s="27" t="n">
        <v>0.75</v>
      </c>
      <c r="N2" s="27" t="n">
        <v>100</v>
      </c>
      <c r="O2" s="27" t="n">
        <v>7.2</v>
      </c>
      <c r="P2" s="27" t="s">
        <v>60</v>
      </c>
      <c r="Q2" s="31" t="str">
        <f aca="false">"Food "&amp;A2&amp;" "&amp;B2&amp;" Syringe @"&amp;TEXT(C2,"0.00")&amp;"mm.json"</f>
        <v>Food Medium Plastic Syringe @0.50mm.json</v>
      </c>
      <c r="R2" s="4"/>
      <c r="S2" s="4"/>
      <c r="T2" s="4"/>
      <c r="U2" s="4"/>
      <c r="V2" s="4"/>
    </row>
    <row r="3" customFormat="false" ht="46.25" hidden="false" customHeight="false" outlineLevel="0" collapsed="false">
      <c r="A3" s="27" t="s">
        <v>98</v>
      </c>
      <c r="B3" s="27" t="s">
        <v>99</v>
      </c>
      <c r="C3" s="28" t="n">
        <v>1</v>
      </c>
      <c r="D3" s="27" t="s">
        <v>100</v>
      </c>
      <c r="E3" s="29" t="s">
        <v>102</v>
      </c>
      <c r="F3" s="30" t="n">
        <v>1.05</v>
      </c>
      <c r="G3" s="27" t="n">
        <v>3</v>
      </c>
      <c r="H3" s="27" t="n">
        <v>0</v>
      </c>
      <c r="I3" s="28" t="n">
        <v>5</v>
      </c>
      <c r="J3" s="28" t="n">
        <v>6</v>
      </c>
      <c r="K3" s="28" t="n">
        <v>31.22</v>
      </c>
      <c r="L3" s="27" t="n">
        <v>0</v>
      </c>
      <c r="M3" s="27" t="n">
        <v>1.5</v>
      </c>
      <c r="N3" s="27" t="n">
        <v>100</v>
      </c>
      <c r="O3" s="27" t="n">
        <v>27</v>
      </c>
      <c r="P3" s="27" t="s">
        <v>60</v>
      </c>
      <c r="Q3" s="31" t="str">
        <f aca="false">"Food "&amp;A3&amp;" "&amp;B3&amp;" Syringe @"&amp;TEXT(C3,"0.00")&amp;"mm.json"</f>
        <v>Food Medium Plastic Syringe @1.00mm.json</v>
      </c>
      <c r="R3" s="4"/>
      <c r="S3" s="4"/>
      <c r="T3" s="4"/>
      <c r="U3" s="4"/>
      <c r="V3" s="4"/>
    </row>
    <row r="4" customFormat="false" ht="46.25" hidden="false" customHeight="false" outlineLevel="0" collapsed="false">
      <c r="A4" s="27" t="s">
        <v>98</v>
      </c>
      <c r="B4" s="27" t="s">
        <v>99</v>
      </c>
      <c r="C4" s="28" t="n">
        <v>2</v>
      </c>
      <c r="D4" s="27" t="s">
        <v>100</v>
      </c>
      <c r="E4" s="29" t="s">
        <v>103</v>
      </c>
      <c r="F4" s="30" t="n">
        <v>1.05</v>
      </c>
      <c r="G4" s="27" t="n">
        <v>3</v>
      </c>
      <c r="H4" s="27" t="n">
        <v>0</v>
      </c>
      <c r="I4" s="28" t="n">
        <v>5</v>
      </c>
      <c r="J4" s="28" t="n">
        <v>6</v>
      </c>
      <c r="K4" s="28" t="n">
        <v>31.22</v>
      </c>
      <c r="L4" s="27" t="n">
        <v>0</v>
      </c>
      <c r="M4" s="27" t="n">
        <v>3</v>
      </c>
      <c r="N4" s="27" t="n">
        <v>100</v>
      </c>
      <c r="O4" s="27" t="n">
        <v>108</v>
      </c>
      <c r="P4" s="27" t="s">
        <v>60</v>
      </c>
      <c r="Q4" s="31" t="str">
        <f aca="false">"Food "&amp;A4&amp;" "&amp;B4&amp;" Syringe @"&amp;TEXT(C4,"0.00")&amp;"mm.json"</f>
        <v>Food Medium Plastic Syringe @2.00mm.json</v>
      </c>
      <c r="R4" s="4"/>
      <c r="S4" s="4"/>
      <c r="T4" s="4"/>
      <c r="U4" s="4"/>
      <c r="V4" s="4"/>
    </row>
    <row r="5" customFormat="false" ht="46.25" hidden="false" customHeight="false" outlineLevel="0" collapsed="false">
      <c r="A5" s="27" t="s">
        <v>98</v>
      </c>
      <c r="B5" s="27" t="s">
        <v>99</v>
      </c>
      <c r="C5" s="28" t="n">
        <v>3</v>
      </c>
      <c r="D5" s="27" t="s">
        <v>100</v>
      </c>
      <c r="E5" s="29" t="s">
        <v>104</v>
      </c>
      <c r="F5" s="30" t="n">
        <v>1.05</v>
      </c>
      <c r="G5" s="27" t="n">
        <v>3</v>
      </c>
      <c r="H5" s="27" t="n">
        <v>0</v>
      </c>
      <c r="I5" s="28" t="n">
        <v>5</v>
      </c>
      <c r="J5" s="28" t="n">
        <v>6</v>
      </c>
      <c r="K5" s="28" t="n">
        <v>31.22</v>
      </c>
      <c r="L5" s="27" t="n">
        <v>0</v>
      </c>
      <c r="M5" s="27" t="n">
        <v>4.5</v>
      </c>
      <c r="N5" s="27" t="n">
        <v>100</v>
      </c>
      <c r="O5" s="27" t="n">
        <v>216</v>
      </c>
      <c r="P5" s="27" t="s">
        <v>60</v>
      </c>
      <c r="Q5" s="31" t="str">
        <f aca="false">"Food "&amp;A5&amp;" "&amp;B5&amp;" Syringe @"&amp;TEXT(C5,"0.00")&amp;"mm.json"</f>
        <v>Food Medium Plastic Syringe @3.00mm.json</v>
      </c>
      <c r="R5" s="4"/>
      <c r="S5" s="4"/>
      <c r="T5" s="4"/>
      <c r="U5" s="4"/>
      <c r="V5" s="4"/>
    </row>
    <row r="6" customFormat="false" ht="46.25" hidden="false" customHeight="false" outlineLevel="0" collapsed="false">
      <c r="A6" s="27" t="s">
        <v>98</v>
      </c>
      <c r="B6" s="27" t="s">
        <v>99</v>
      </c>
      <c r="C6" s="28" t="n">
        <v>4</v>
      </c>
      <c r="D6" s="27" t="s">
        <v>100</v>
      </c>
      <c r="E6" s="29" t="s">
        <v>105</v>
      </c>
      <c r="F6" s="30" t="n">
        <v>1.05</v>
      </c>
      <c r="G6" s="27" t="n">
        <v>3</v>
      </c>
      <c r="H6" s="27" t="n">
        <v>0</v>
      </c>
      <c r="I6" s="28" t="n">
        <v>5</v>
      </c>
      <c r="J6" s="28" t="n">
        <v>6</v>
      </c>
      <c r="K6" s="28" t="n">
        <v>31.22</v>
      </c>
      <c r="L6" s="27" t="n">
        <v>0</v>
      </c>
      <c r="M6" s="27" t="n">
        <v>6</v>
      </c>
      <c r="N6" s="27" t="n">
        <v>100</v>
      </c>
      <c r="O6" s="27" t="n">
        <v>432</v>
      </c>
      <c r="P6" s="27" t="s">
        <v>60</v>
      </c>
      <c r="Q6" s="31" t="str">
        <f aca="false">"Food "&amp;A6&amp;" "&amp;B6&amp;" Syringe @"&amp;TEXT(C6,"0.00")&amp;"mm.json"</f>
        <v>Food Medium Plastic Syringe @4.00mm.json</v>
      </c>
      <c r="R6" s="4"/>
      <c r="S6" s="4"/>
      <c r="T6" s="4"/>
      <c r="U6" s="4"/>
      <c r="V6" s="4"/>
    </row>
    <row r="7" customFormat="false" ht="46.25" hidden="false" customHeight="false" outlineLevel="0" collapsed="false">
      <c r="A7" s="27" t="s">
        <v>106</v>
      </c>
      <c r="B7" s="27" t="s">
        <v>99</v>
      </c>
      <c r="C7" s="28" t="n">
        <v>0.5</v>
      </c>
      <c r="D7" s="27" t="s">
        <v>100</v>
      </c>
      <c r="E7" s="29" t="s">
        <v>101</v>
      </c>
      <c r="F7" s="30" t="n">
        <v>1.1</v>
      </c>
      <c r="G7" s="27" t="n">
        <v>0.75</v>
      </c>
      <c r="H7" s="27" t="n">
        <v>0</v>
      </c>
      <c r="I7" s="28" t="n">
        <v>5</v>
      </c>
      <c r="J7" s="28" t="n">
        <v>1.5</v>
      </c>
      <c r="K7" s="28" t="n">
        <v>31.22</v>
      </c>
      <c r="L7" s="27" t="n">
        <v>0</v>
      </c>
      <c r="M7" s="27" t="n">
        <v>0.75</v>
      </c>
      <c r="N7" s="27" t="n">
        <v>110</v>
      </c>
      <c r="O7" s="27" t="n">
        <v>10.8</v>
      </c>
      <c r="P7" s="27" t="s">
        <v>60</v>
      </c>
      <c r="Q7" s="31" t="str">
        <f aca="false">"Food "&amp;A7&amp;" "&amp;B7&amp;" Syringe @"&amp;TEXT(C7,"0.00")&amp;"mm.json"</f>
        <v>Food Thin Plastic Syringe @0.50mm.json</v>
      </c>
      <c r="R7" s="4"/>
      <c r="S7" s="4"/>
      <c r="T7" s="4"/>
      <c r="U7" s="4"/>
      <c r="V7" s="4"/>
    </row>
    <row r="8" customFormat="false" ht="46.25" hidden="false" customHeight="false" outlineLevel="0" collapsed="false">
      <c r="A8" s="27" t="s">
        <v>106</v>
      </c>
      <c r="B8" s="27" t="s">
        <v>99</v>
      </c>
      <c r="C8" s="28" t="n">
        <v>1</v>
      </c>
      <c r="D8" s="27" t="s">
        <v>100</v>
      </c>
      <c r="E8" s="29" t="s">
        <v>102</v>
      </c>
      <c r="F8" s="30" t="n">
        <v>1.1</v>
      </c>
      <c r="G8" s="27" t="n">
        <v>0.75</v>
      </c>
      <c r="H8" s="27" t="n">
        <v>0</v>
      </c>
      <c r="I8" s="28" t="n">
        <v>5</v>
      </c>
      <c r="J8" s="28" t="n">
        <v>1.5</v>
      </c>
      <c r="K8" s="28" t="n">
        <v>31.22</v>
      </c>
      <c r="L8" s="27" t="n">
        <v>0</v>
      </c>
      <c r="M8" s="27" t="n">
        <v>1.5</v>
      </c>
      <c r="N8" s="27" t="n">
        <v>110</v>
      </c>
      <c r="O8" s="27" t="n">
        <v>40.5</v>
      </c>
      <c r="P8" s="27" t="s">
        <v>60</v>
      </c>
      <c r="Q8" s="31" t="str">
        <f aca="false">"Food "&amp;A8&amp;" "&amp;B8&amp;" Syringe @"&amp;TEXT(C8,"0.00")&amp;"mm.json"</f>
        <v>Food Thin Plastic Syringe @1.00mm.json</v>
      </c>
      <c r="R8" s="4"/>
      <c r="S8" s="4"/>
      <c r="T8" s="4"/>
      <c r="U8" s="4"/>
      <c r="V8" s="4"/>
    </row>
    <row r="9" customFormat="false" ht="46.25" hidden="false" customHeight="false" outlineLevel="0" collapsed="false">
      <c r="A9" s="27" t="s">
        <v>106</v>
      </c>
      <c r="B9" s="27" t="s">
        <v>99</v>
      </c>
      <c r="C9" s="28" t="n">
        <v>2</v>
      </c>
      <c r="D9" s="27" t="s">
        <v>100</v>
      </c>
      <c r="E9" s="29" t="s">
        <v>103</v>
      </c>
      <c r="F9" s="30" t="n">
        <v>1.1</v>
      </c>
      <c r="G9" s="27" t="n">
        <v>0.75</v>
      </c>
      <c r="H9" s="27" t="n">
        <v>0</v>
      </c>
      <c r="I9" s="28" t="n">
        <v>5</v>
      </c>
      <c r="J9" s="28" t="n">
        <v>1.5</v>
      </c>
      <c r="K9" s="28" t="n">
        <v>31.22</v>
      </c>
      <c r="L9" s="27" t="n">
        <v>0</v>
      </c>
      <c r="M9" s="27" t="n">
        <v>3</v>
      </c>
      <c r="N9" s="27" t="n">
        <v>110</v>
      </c>
      <c r="O9" s="27" t="n">
        <v>162</v>
      </c>
      <c r="P9" s="27" t="s">
        <v>60</v>
      </c>
      <c r="Q9" s="31" t="str">
        <f aca="false">"Food "&amp;A9&amp;" "&amp;B9&amp;" Syringe @"&amp;TEXT(C9,"0.00")&amp;"mm.json"</f>
        <v>Food Thin Plastic Syringe @2.00mm.json</v>
      </c>
      <c r="R9" s="4"/>
      <c r="S9" s="4"/>
      <c r="T9" s="4"/>
      <c r="U9" s="4"/>
      <c r="V9" s="4"/>
    </row>
    <row r="10" customFormat="false" ht="46.25" hidden="false" customHeight="false" outlineLevel="0" collapsed="false">
      <c r="A10" s="27" t="s">
        <v>106</v>
      </c>
      <c r="B10" s="27" t="s">
        <v>99</v>
      </c>
      <c r="C10" s="28" t="n">
        <v>3</v>
      </c>
      <c r="D10" s="27" t="s">
        <v>100</v>
      </c>
      <c r="E10" s="29" t="s">
        <v>104</v>
      </c>
      <c r="F10" s="30" t="n">
        <v>1.1</v>
      </c>
      <c r="G10" s="27" t="n">
        <v>0.75</v>
      </c>
      <c r="H10" s="27" t="n">
        <v>0</v>
      </c>
      <c r="I10" s="28" t="n">
        <v>5</v>
      </c>
      <c r="J10" s="28" t="n">
        <v>1.5</v>
      </c>
      <c r="K10" s="28" t="n">
        <v>31.22</v>
      </c>
      <c r="L10" s="27" t="n">
        <v>0</v>
      </c>
      <c r="M10" s="27" t="n">
        <v>4.5</v>
      </c>
      <c r="N10" s="27" t="n">
        <v>110</v>
      </c>
      <c r="O10" s="27" t="n">
        <v>324</v>
      </c>
      <c r="P10" s="27" t="s">
        <v>60</v>
      </c>
      <c r="Q10" s="31" t="str">
        <f aca="false">"Food "&amp;A10&amp;" "&amp;B10&amp;" Syringe @"&amp;TEXT(C10,"0.00")&amp;"mm.json"</f>
        <v>Food Thin Plastic Syringe @3.00mm.json</v>
      </c>
      <c r="R10" s="4"/>
      <c r="S10" s="4"/>
      <c r="T10" s="4"/>
      <c r="U10" s="4"/>
      <c r="V10" s="4"/>
    </row>
    <row r="11" customFormat="false" ht="46.25" hidden="false" customHeight="false" outlineLevel="0" collapsed="false">
      <c r="A11" s="27" t="s">
        <v>106</v>
      </c>
      <c r="B11" s="27" t="s">
        <v>99</v>
      </c>
      <c r="C11" s="28" t="n">
        <v>4</v>
      </c>
      <c r="D11" s="27" t="s">
        <v>100</v>
      </c>
      <c r="E11" s="29" t="s">
        <v>105</v>
      </c>
      <c r="F11" s="30" t="n">
        <v>1.1</v>
      </c>
      <c r="G11" s="27" t="n">
        <v>0.75</v>
      </c>
      <c r="H11" s="27" t="n">
        <v>0</v>
      </c>
      <c r="I11" s="28" t="n">
        <v>5</v>
      </c>
      <c r="J11" s="28" t="n">
        <v>1.5</v>
      </c>
      <c r="K11" s="28" t="n">
        <v>31.22</v>
      </c>
      <c r="L11" s="27" t="n">
        <v>0</v>
      </c>
      <c r="M11" s="27" t="n">
        <v>6</v>
      </c>
      <c r="N11" s="27" t="n">
        <v>110</v>
      </c>
      <c r="O11" s="27" t="n">
        <v>648</v>
      </c>
      <c r="P11" s="27" t="s">
        <v>60</v>
      </c>
      <c r="Q11" s="31" t="str">
        <f aca="false">"Food "&amp;A11&amp;" "&amp;B11&amp;" Syringe @"&amp;TEXT(C11,"0.00")&amp;"mm.json"</f>
        <v>Food Thin Plastic Syringe @4.00mm.json</v>
      </c>
      <c r="R11" s="4"/>
      <c r="S11" s="4"/>
      <c r="T11" s="4"/>
      <c r="U11" s="4"/>
      <c r="V11" s="4"/>
    </row>
    <row r="12" customFormat="false" ht="46.25" hidden="false" customHeight="false" outlineLevel="0" collapsed="false">
      <c r="A12" s="27" t="s">
        <v>107</v>
      </c>
      <c r="B12" s="27" t="s">
        <v>99</v>
      </c>
      <c r="C12" s="28" t="n">
        <v>0.5</v>
      </c>
      <c r="D12" s="27" t="s">
        <v>100</v>
      </c>
      <c r="E12" s="29" t="s">
        <v>101</v>
      </c>
      <c r="F12" s="30" t="n">
        <v>1</v>
      </c>
      <c r="G12" s="27" t="n">
        <v>0.5</v>
      </c>
      <c r="H12" s="27" t="n">
        <v>0.03</v>
      </c>
      <c r="I12" s="28" t="n">
        <v>5</v>
      </c>
      <c r="J12" s="28" t="n">
        <v>1</v>
      </c>
      <c r="K12" s="28" t="n">
        <v>31.22</v>
      </c>
      <c r="L12" s="27" t="n">
        <v>0</v>
      </c>
      <c r="M12" s="27" t="n">
        <v>0.75</v>
      </c>
      <c r="N12" s="27" t="n">
        <v>105</v>
      </c>
      <c r="O12" s="27" t="n">
        <v>14.4</v>
      </c>
      <c r="P12" s="27" t="s">
        <v>60</v>
      </c>
      <c r="Q12" s="31" t="str">
        <f aca="false">"Food "&amp;A12&amp;" "&amp;B12&amp;" Syringe @"&amp;TEXT(C12,"0.00")&amp;"mm.json"</f>
        <v>Food Very Thin Plastic Syringe @0.50mm.json</v>
      </c>
      <c r="R12" s="4"/>
      <c r="S12" s="4"/>
      <c r="T12" s="4"/>
      <c r="U12" s="4"/>
      <c r="V12" s="4"/>
    </row>
    <row r="13" customFormat="false" ht="46.25" hidden="false" customHeight="false" outlineLevel="0" collapsed="false">
      <c r="A13" s="27" t="s">
        <v>107</v>
      </c>
      <c r="B13" s="27" t="s">
        <v>99</v>
      </c>
      <c r="C13" s="28" t="n">
        <v>1</v>
      </c>
      <c r="D13" s="27" t="s">
        <v>100</v>
      </c>
      <c r="E13" s="29" t="s">
        <v>102</v>
      </c>
      <c r="F13" s="30" t="n">
        <v>1</v>
      </c>
      <c r="G13" s="27" t="n">
        <v>0.5</v>
      </c>
      <c r="H13" s="27" t="n">
        <v>0.03</v>
      </c>
      <c r="I13" s="28" t="n">
        <v>5</v>
      </c>
      <c r="J13" s="28" t="n">
        <v>1</v>
      </c>
      <c r="K13" s="28" t="n">
        <v>31.22</v>
      </c>
      <c r="L13" s="27" t="n">
        <v>0</v>
      </c>
      <c r="M13" s="27" t="n">
        <v>1.5</v>
      </c>
      <c r="N13" s="27" t="n">
        <v>105</v>
      </c>
      <c r="O13" s="27" t="n">
        <v>54</v>
      </c>
      <c r="P13" s="27" t="s">
        <v>60</v>
      </c>
      <c r="Q13" s="31" t="str">
        <f aca="false">"Food "&amp;A13&amp;" "&amp;B13&amp;" Syringe @"&amp;TEXT(C13,"0.00")&amp;"mm.json"</f>
        <v>Food Very Thin Plastic Syringe @1.00mm.json</v>
      </c>
      <c r="R13" s="4"/>
      <c r="S13" s="4"/>
      <c r="T13" s="4"/>
      <c r="U13" s="4"/>
      <c r="V13" s="4"/>
    </row>
    <row r="14" customFormat="false" ht="46.25" hidden="false" customHeight="false" outlineLevel="0" collapsed="false">
      <c r="A14" s="27" t="s">
        <v>107</v>
      </c>
      <c r="B14" s="27" t="s">
        <v>99</v>
      </c>
      <c r="C14" s="28" t="n">
        <v>2</v>
      </c>
      <c r="D14" s="27" t="s">
        <v>100</v>
      </c>
      <c r="E14" s="29" t="s">
        <v>103</v>
      </c>
      <c r="F14" s="30" t="n">
        <v>1</v>
      </c>
      <c r="G14" s="27" t="n">
        <v>0.5</v>
      </c>
      <c r="H14" s="27" t="n">
        <v>0.03</v>
      </c>
      <c r="I14" s="28" t="n">
        <v>5</v>
      </c>
      <c r="J14" s="28" t="n">
        <v>1</v>
      </c>
      <c r="K14" s="28" t="n">
        <v>31.22</v>
      </c>
      <c r="L14" s="27" t="n">
        <v>0</v>
      </c>
      <c r="M14" s="27" t="n">
        <v>3</v>
      </c>
      <c r="N14" s="27" t="n">
        <v>105</v>
      </c>
      <c r="O14" s="27" t="n">
        <v>218</v>
      </c>
      <c r="P14" s="27" t="s">
        <v>60</v>
      </c>
      <c r="Q14" s="31" t="str">
        <f aca="false">"Food "&amp;A14&amp;" "&amp;B14&amp;" Syringe @"&amp;TEXT(C14,"0.00")&amp;"mm.json"</f>
        <v>Food Very Thin Plastic Syringe @2.00mm.json</v>
      </c>
      <c r="R14" s="4"/>
      <c r="S14" s="4"/>
      <c r="T14" s="4"/>
      <c r="U14" s="4"/>
      <c r="V14" s="4"/>
    </row>
    <row r="15" customFormat="false" ht="46.25" hidden="false" customHeight="false" outlineLevel="0" collapsed="false">
      <c r="A15" s="27" t="s">
        <v>107</v>
      </c>
      <c r="B15" s="27" t="s">
        <v>99</v>
      </c>
      <c r="C15" s="28" t="n">
        <v>3</v>
      </c>
      <c r="D15" s="27" t="s">
        <v>100</v>
      </c>
      <c r="E15" s="29" t="s">
        <v>104</v>
      </c>
      <c r="F15" s="30" t="n">
        <v>1</v>
      </c>
      <c r="G15" s="27" t="n">
        <v>0.5</v>
      </c>
      <c r="H15" s="27" t="n">
        <v>0.03</v>
      </c>
      <c r="I15" s="28" t="n">
        <v>5</v>
      </c>
      <c r="J15" s="28" t="n">
        <v>1</v>
      </c>
      <c r="K15" s="28" t="n">
        <v>31.22</v>
      </c>
      <c r="L15" s="27" t="n">
        <v>0</v>
      </c>
      <c r="M15" s="27" t="n">
        <v>4.5</v>
      </c>
      <c r="N15" s="27" t="n">
        <v>105</v>
      </c>
      <c r="O15" s="27" t="n">
        <v>432</v>
      </c>
      <c r="P15" s="27" t="s">
        <v>60</v>
      </c>
      <c r="Q15" s="31" t="str">
        <f aca="false">"Food "&amp;A15&amp;" "&amp;B15&amp;" Syringe @"&amp;TEXT(C15,"0.00")&amp;"mm.json"</f>
        <v>Food Very Thin Plastic Syringe @3.00mm.json</v>
      </c>
      <c r="R15" s="4"/>
      <c r="S15" s="4"/>
      <c r="T15" s="4"/>
      <c r="U15" s="4"/>
      <c r="V15" s="4"/>
    </row>
    <row r="16" customFormat="false" ht="46.25" hidden="false" customHeight="false" outlineLevel="0" collapsed="false">
      <c r="A16" s="27" t="s">
        <v>107</v>
      </c>
      <c r="B16" s="27" t="s">
        <v>99</v>
      </c>
      <c r="C16" s="28" t="n">
        <v>4</v>
      </c>
      <c r="D16" s="27" t="s">
        <v>100</v>
      </c>
      <c r="E16" s="29" t="s">
        <v>105</v>
      </c>
      <c r="F16" s="30" t="n">
        <v>1</v>
      </c>
      <c r="G16" s="27" t="n">
        <v>0.5</v>
      </c>
      <c r="H16" s="27" t="n">
        <v>0.03</v>
      </c>
      <c r="I16" s="28" t="n">
        <v>5</v>
      </c>
      <c r="J16" s="28" t="n">
        <v>1</v>
      </c>
      <c r="K16" s="28" t="n">
        <v>31.22</v>
      </c>
      <c r="L16" s="27" t="n">
        <v>0</v>
      </c>
      <c r="M16" s="27" t="n">
        <v>6</v>
      </c>
      <c r="N16" s="27" t="n">
        <v>105</v>
      </c>
      <c r="O16" s="27" t="n">
        <v>864</v>
      </c>
      <c r="P16" s="27" t="s">
        <v>60</v>
      </c>
      <c r="Q16" s="31" t="str">
        <f aca="false">"Food "&amp;A16&amp;" "&amp;B16&amp;" Syringe @"&amp;TEXT(C16,"0.00")&amp;"mm.json"</f>
        <v>Food Very Thin Plastic Syringe @4.00mm.json</v>
      </c>
      <c r="R16" s="4"/>
      <c r="S16" s="4"/>
      <c r="T16" s="4"/>
      <c r="U16" s="4"/>
      <c r="V16" s="4"/>
    </row>
    <row r="17" customFormat="false" ht="46.25" hidden="false" customHeight="false" outlineLevel="0" collapsed="false">
      <c r="A17" s="32" t="s">
        <v>108</v>
      </c>
      <c r="B17" s="32" t="s">
        <v>109</v>
      </c>
      <c r="C17" s="33" t="n">
        <v>1</v>
      </c>
      <c r="D17" s="32" t="s">
        <v>100</v>
      </c>
      <c r="E17" s="34" t="s">
        <v>102</v>
      </c>
      <c r="F17" s="35" t="n">
        <v>1</v>
      </c>
      <c r="G17" s="33" t="n">
        <v>2</v>
      </c>
      <c r="H17" s="32" t="n">
        <v>0</v>
      </c>
      <c r="I17" s="33" t="n">
        <v>5</v>
      </c>
      <c r="J17" s="32" t="n">
        <v>4</v>
      </c>
      <c r="K17" s="32" t="n">
        <v>25.4</v>
      </c>
      <c r="L17" s="33" t="n">
        <v>0</v>
      </c>
      <c r="M17" s="32" t="n">
        <v>0.75</v>
      </c>
      <c r="N17" s="32" t="n">
        <v>96</v>
      </c>
      <c r="O17" s="32" t="n">
        <v>13.5</v>
      </c>
      <c r="P17" s="27" t="s">
        <v>60</v>
      </c>
      <c r="Q17" s="36" t="str">
        <f aca="false">"Food "&amp;A17&amp;" "&amp;B17&amp;" Syringe @"&amp;TEXT(C17,"0.00")&amp;"mm.json"</f>
        <v>Food Very Thick Stainless Steel Syringe @1.00mm.json</v>
      </c>
      <c r="R17" s="4"/>
      <c r="S17" s="4"/>
      <c r="T17" s="4"/>
      <c r="U17" s="4"/>
      <c r="V17" s="4"/>
    </row>
    <row r="18" customFormat="false" ht="46.25" hidden="false" customHeight="false" outlineLevel="0" collapsed="false">
      <c r="A18" s="32" t="s">
        <v>108</v>
      </c>
      <c r="B18" s="32" t="s">
        <v>109</v>
      </c>
      <c r="C18" s="33" t="n">
        <v>2</v>
      </c>
      <c r="D18" s="32" t="s">
        <v>100</v>
      </c>
      <c r="E18" s="34" t="s">
        <v>103</v>
      </c>
      <c r="F18" s="35" t="n">
        <v>1</v>
      </c>
      <c r="G18" s="33" t="n">
        <v>2</v>
      </c>
      <c r="H18" s="32" t="n">
        <v>0</v>
      </c>
      <c r="I18" s="33" t="n">
        <v>5</v>
      </c>
      <c r="J18" s="32" t="n">
        <v>4</v>
      </c>
      <c r="K18" s="32" t="n">
        <v>25.4</v>
      </c>
      <c r="L18" s="33" t="n">
        <v>0</v>
      </c>
      <c r="M18" s="32" t="n">
        <v>1.5</v>
      </c>
      <c r="N18" s="32" t="n">
        <v>96</v>
      </c>
      <c r="O18" s="32" t="n">
        <v>53</v>
      </c>
      <c r="P18" s="27" t="s">
        <v>60</v>
      </c>
      <c r="Q18" s="36" t="str">
        <f aca="false">"Food "&amp;A18&amp;" "&amp;B18&amp;" Syringe @"&amp;TEXT(C18,"0.00")&amp;"mm.json"</f>
        <v>Food Very Thick Stainless Steel Syringe @2.00mm.json</v>
      </c>
      <c r="R18" s="4"/>
      <c r="S18" s="4"/>
      <c r="T18" s="4"/>
      <c r="U18" s="4"/>
      <c r="V18" s="4"/>
    </row>
    <row r="19" customFormat="false" ht="46.25" hidden="false" customHeight="false" outlineLevel="0" collapsed="false">
      <c r="A19" s="32" t="s">
        <v>108</v>
      </c>
      <c r="B19" s="32" t="s">
        <v>109</v>
      </c>
      <c r="C19" s="33" t="n">
        <v>3</v>
      </c>
      <c r="D19" s="32" t="s">
        <v>100</v>
      </c>
      <c r="E19" s="34" t="s">
        <v>104</v>
      </c>
      <c r="F19" s="35" t="n">
        <v>1</v>
      </c>
      <c r="G19" s="33" t="n">
        <v>2</v>
      </c>
      <c r="H19" s="32" t="n">
        <v>0</v>
      </c>
      <c r="I19" s="33" t="n">
        <v>5</v>
      </c>
      <c r="J19" s="32" t="n">
        <v>4</v>
      </c>
      <c r="K19" s="32" t="n">
        <v>25.4</v>
      </c>
      <c r="L19" s="33" t="n">
        <v>0</v>
      </c>
      <c r="M19" s="32" t="n">
        <v>3</v>
      </c>
      <c r="N19" s="32" t="n">
        <v>96</v>
      </c>
      <c r="O19" s="32" t="n">
        <v>108</v>
      </c>
      <c r="P19" s="27" t="s">
        <v>60</v>
      </c>
      <c r="Q19" s="36" t="str">
        <f aca="false">"Food "&amp;A19&amp;" "&amp;B19&amp;" Syringe @"&amp;TEXT(C19,"0.00")&amp;"mm.json"</f>
        <v>Food Very Thick Stainless Steel Syringe @3.00mm.json</v>
      </c>
      <c r="R19" s="4"/>
      <c r="S19" s="4"/>
      <c r="T19" s="4"/>
      <c r="U19" s="4"/>
      <c r="V19" s="4"/>
    </row>
    <row r="20" customFormat="false" ht="46.25" hidden="false" customHeight="false" outlineLevel="0" collapsed="false">
      <c r="A20" s="32" t="s">
        <v>108</v>
      </c>
      <c r="B20" s="32" t="s">
        <v>109</v>
      </c>
      <c r="C20" s="33" t="n">
        <v>4</v>
      </c>
      <c r="D20" s="32" t="s">
        <v>100</v>
      </c>
      <c r="E20" s="34" t="s">
        <v>105</v>
      </c>
      <c r="F20" s="35" t="n">
        <v>1</v>
      </c>
      <c r="G20" s="33" t="n">
        <v>2</v>
      </c>
      <c r="H20" s="32" t="n">
        <v>0</v>
      </c>
      <c r="I20" s="33" t="n">
        <v>5</v>
      </c>
      <c r="J20" s="32" t="n">
        <v>4</v>
      </c>
      <c r="K20" s="32" t="n">
        <v>25.4</v>
      </c>
      <c r="L20" s="33" t="n">
        <v>0</v>
      </c>
      <c r="M20" s="32" t="n">
        <v>4.5</v>
      </c>
      <c r="N20" s="32" t="n">
        <v>96</v>
      </c>
      <c r="O20" s="32" t="n">
        <v>216</v>
      </c>
      <c r="P20" s="27" t="s">
        <v>60</v>
      </c>
      <c r="Q20" s="36" t="str">
        <f aca="false">"Food "&amp;A20&amp;" "&amp;B20&amp;" Syringe @"&amp;TEXT(C20,"0.00")&amp;"mm.json"</f>
        <v>Food Very Thick Stainless Steel Syringe @4.00mm.json</v>
      </c>
      <c r="R20" s="4"/>
      <c r="S20" s="4"/>
      <c r="T20" s="4"/>
      <c r="U20" s="4"/>
      <c r="V20" s="4"/>
    </row>
    <row r="21" customFormat="false" ht="46.25" hidden="false" customHeight="false" outlineLevel="0" collapsed="false">
      <c r="A21" s="32" t="s">
        <v>110</v>
      </c>
      <c r="B21" s="32" t="s">
        <v>109</v>
      </c>
      <c r="C21" s="33" t="n">
        <v>0.5</v>
      </c>
      <c r="D21" s="32" t="s">
        <v>100</v>
      </c>
      <c r="E21" s="34" t="s">
        <v>101</v>
      </c>
      <c r="F21" s="35" t="n">
        <v>1.02</v>
      </c>
      <c r="G21" s="33" t="n">
        <v>2</v>
      </c>
      <c r="H21" s="32" t="n">
        <v>0</v>
      </c>
      <c r="I21" s="33" t="n">
        <v>5</v>
      </c>
      <c r="J21" s="32" t="n">
        <v>4</v>
      </c>
      <c r="K21" s="32" t="n">
        <v>25.4</v>
      </c>
      <c r="L21" s="33" t="n">
        <v>0</v>
      </c>
      <c r="M21" s="32" t="n">
        <v>0.75</v>
      </c>
      <c r="N21" s="32" t="n">
        <v>110</v>
      </c>
      <c r="O21" s="32" t="n">
        <v>4.8</v>
      </c>
      <c r="P21" s="27" t="s">
        <v>60</v>
      </c>
      <c r="Q21" s="36" t="str">
        <f aca="false">"Food "&amp;A21&amp;" "&amp;B21&amp;" Syringe @"&amp;TEXT(C21,"0.00")&amp;"mm.json"</f>
        <v>Food Thick Stainless Steel Syringe @0.50mm.json</v>
      </c>
      <c r="R21" s="4"/>
      <c r="S21" s="4"/>
      <c r="T21" s="4"/>
      <c r="U21" s="4"/>
      <c r="V21" s="4"/>
    </row>
    <row r="22" customFormat="false" ht="46.25" hidden="false" customHeight="false" outlineLevel="0" collapsed="false">
      <c r="A22" s="32" t="s">
        <v>110</v>
      </c>
      <c r="B22" s="32" t="s">
        <v>109</v>
      </c>
      <c r="C22" s="33" t="n">
        <v>1</v>
      </c>
      <c r="D22" s="32" t="s">
        <v>100</v>
      </c>
      <c r="E22" s="34" t="s">
        <v>102</v>
      </c>
      <c r="F22" s="35" t="n">
        <v>1.02</v>
      </c>
      <c r="G22" s="33" t="n">
        <v>2</v>
      </c>
      <c r="H22" s="32" t="n">
        <v>0</v>
      </c>
      <c r="I22" s="33" t="n">
        <v>5</v>
      </c>
      <c r="J22" s="32" t="n">
        <v>4</v>
      </c>
      <c r="K22" s="32" t="n">
        <v>25.4</v>
      </c>
      <c r="L22" s="33" t="n">
        <v>0</v>
      </c>
      <c r="M22" s="32" t="n">
        <v>1.5</v>
      </c>
      <c r="N22" s="32" t="n">
        <v>110</v>
      </c>
      <c r="O22" s="32" t="n">
        <v>18</v>
      </c>
      <c r="P22" s="27" t="s">
        <v>60</v>
      </c>
      <c r="Q22" s="36" t="str">
        <f aca="false">"Food "&amp;A22&amp;" "&amp;B22&amp;" Syringe @"&amp;TEXT(C22,"0.00")&amp;"mm.json"</f>
        <v>Food Thick Stainless Steel Syringe @1.00mm.json</v>
      </c>
      <c r="R22" s="4"/>
      <c r="S22" s="4"/>
      <c r="T22" s="4"/>
      <c r="U22" s="4"/>
      <c r="V22" s="4"/>
    </row>
    <row r="23" customFormat="false" ht="46.25" hidden="false" customHeight="false" outlineLevel="0" collapsed="false">
      <c r="A23" s="32" t="s">
        <v>110</v>
      </c>
      <c r="B23" s="32" t="s">
        <v>109</v>
      </c>
      <c r="C23" s="33" t="n">
        <v>2</v>
      </c>
      <c r="D23" s="32" t="s">
        <v>100</v>
      </c>
      <c r="E23" s="34" t="s">
        <v>103</v>
      </c>
      <c r="F23" s="35" t="n">
        <v>1.02</v>
      </c>
      <c r="G23" s="33" t="n">
        <v>2</v>
      </c>
      <c r="H23" s="32" t="n">
        <v>0</v>
      </c>
      <c r="I23" s="33" t="n">
        <v>5</v>
      </c>
      <c r="J23" s="32" t="n">
        <v>4</v>
      </c>
      <c r="K23" s="32" t="n">
        <v>25.4</v>
      </c>
      <c r="L23" s="33" t="n">
        <v>0</v>
      </c>
      <c r="M23" s="32" t="n">
        <v>3</v>
      </c>
      <c r="N23" s="32" t="n">
        <v>110</v>
      </c>
      <c r="O23" s="32" t="n">
        <v>72</v>
      </c>
      <c r="P23" s="27" t="s">
        <v>60</v>
      </c>
      <c r="Q23" s="36" t="str">
        <f aca="false">"Food "&amp;A23&amp;" "&amp;B23&amp;" Syringe @"&amp;TEXT(C23,"0.00")&amp;"mm.json"</f>
        <v>Food Thick Stainless Steel Syringe @2.00mm.json</v>
      </c>
      <c r="R23" s="4"/>
      <c r="S23" s="4"/>
      <c r="T23" s="4"/>
      <c r="U23" s="4"/>
      <c r="V23" s="4"/>
    </row>
    <row r="24" customFormat="false" ht="46.25" hidden="false" customHeight="false" outlineLevel="0" collapsed="false">
      <c r="A24" s="32" t="s">
        <v>110</v>
      </c>
      <c r="B24" s="32" t="s">
        <v>109</v>
      </c>
      <c r="C24" s="33" t="n">
        <v>3</v>
      </c>
      <c r="D24" s="32" t="s">
        <v>100</v>
      </c>
      <c r="E24" s="34" t="s">
        <v>104</v>
      </c>
      <c r="F24" s="35" t="n">
        <v>1.02</v>
      </c>
      <c r="G24" s="33" t="n">
        <v>2</v>
      </c>
      <c r="H24" s="32" t="n">
        <v>0</v>
      </c>
      <c r="I24" s="33" t="n">
        <v>5</v>
      </c>
      <c r="J24" s="32" t="n">
        <v>4</v>
      </c>
      <c r="K24" s="32" t="n">
        <v>25.4</v>
      </c>
      <c r="L24" s="33" t="n">
        <v>0</v>
      </c>
      <c r="M24" s="32" t="n">
        <v>4.5</v>
      </c>
      <c r="N24" s="32" t="n">
        <v>110</v>
      </c>
      <c r="O24" s="32" t="n">
        <v>144</v>
      </c>
      <c r="P24" s="27" t="s">
        <v>60</v>
      </c>
      <c r="Q24" s="36" t="str">
        <f aca="false">"Food "&amp;A24&amp;" "&amp;B24&amp;" Syringe @"&amp;TEXT(C24,"0.00")&amp;"mm.json"</f>
        <v>Food Thick Stainless Steel Syringe @3.00mm.json</v>
      </c>
      <c r="R24" s="4"/>
      <c r="S24" s="4"/>
      <c r="T24" s="4"/>
      <c r="U24" s="4"/>
      <c r="V24" s="4"/>
    </row>
    <row r="25" customFormat="false" ht="46.25" hidden="false" customHeight="false" outlineLevel="0" collapsed="false">
      <c r="A25" s="32" t="s">
        <v>110</v>
      </c>
      <c r="B25" s="32" t="s">
        <v>109</v>
      </c>
      <c r="C25" s="33" t="n">
        <v>4</v>
      </c>
      <c r="D25" s="32" t="s">
        <v>100</v>
      </c>
      <c r="E25" s="34" t="s">
        <v>105</v>
      </c>
      <c r="F25" s="35" t="n">
        <v>1.02</v>
      </c>
      <c r="G25" s="33" t="n">
        <v>2</v>
      </c>
      <c r="H25" s="32" t="n">
        <v>0</v>
      </c>
      <c r="I25" s="33" t="n">
        <v>5</v>
      </c>
      <c r="J25" s="32" t="n">
        <v>4</v>
      </c>
      <c r="K25" s="32" t="n">
        <v>25.4</v>
      </c>
      <c r="L25" s="33" t="n">
        <v>0</v>
      </c>
      <c r="M25" s="32" t="n">
        <v>6</v>
      </c>
      <c r="N25" s="32" t="n">
        <v>110</v>
      </c>
      <c r="O25" s="32" t="n">
        <v>288</v>
      </c>
      <c r="P25" s="27" t="s">
        <v>60</v>
      </c>
      <c r="Q25" s="36" t="str">
        <f aca="false">"Food "&amp;A25&amp;" "&amp;B25&amp;" Syringe @"&amp;TEXT(C25,"0.00")&amp;"mm.json"</f>
        <v>Food Thick Stainless Steel Syringe @4.00mm.json</v>
      </c>
      <c r="R25" s="4"/>
      <c r="S25" s="4"/>
      <c r="T25" s="4"/>
      <c r="U25" s="4"/>
      <c r="V25" s="4"/>
    </row>
    <row r="26" customFormat="false" ht="46.25" hidden="false" customHeight="false" outlineLevel="0" collapsed="false">
      <c r="A26" s="32" t="s">
        <v>98</v>
      </c>
      <c r="B26" s="32" t="s">
        <v>109</v>
      </c>
      <c r="C26" s="33" t="n">
        <v>0.5</v>
      </c>
      <c r="D26" s="32" t="s">
        <v>100</v>
      </c>
      <c r="E26" s="34" t="s">
        <v>101</v>
      </c>
      <c r="F26" s="35" t="n">
        <v>1.05</v>
      </c>
      <c r="G26" s="33" t="n">
        <v>1</v>
      </c>
      <c r="H26" s="32" t="n">
        <v>0</v>
      </c>
      <c r="I26" s="33" t="n">
        <v>10</v>
      </c>
      <c r="J26" s="32" t="n">
        <v>2</v>
      </c>
      <c r="K26" s="32" t="n">
        <v>25.4</v>
      </c>
      <c r="L26" s="33" t="n">
        <v>0</v>
      </c>
      <c r="M26" s="32" t="n">
        <v>0.75</v>
      </c>
      <c r="N26" s="32" t="n">
        <v>105</v>
      </c>
      <c r="O26" s="32" t="n">
        <v>7.2</v>
      </c>
      <c r="P26" s="27" t="s">
        <v>60</v>
      </c>
      <c r="Q26" s="36" t="str">
        <f aca="false">"Food "&amp;A26&amp;" "&amp;B26&amp;" Syringe @"&amp;TEXT(C26,"0.00")&amp;"mm.json"</f>
        <v>Food Medium Stainless Steel Syringe @0.50mm.json</v>
      </c>
      <c r="R26" s="4"/>
      <c r="S26" s="4"/>
      <c r="T26" s="4"/>
      <c r="U26" s="4"/>
      <c r="V26" s="4"/>
    </row>
    <row r="27" customFormat="false" ht="46.25" hidden="false" customHeight="false" outlineLevel="0" collapsed="false">
      <c r="A27" s="32" t="s">
        <v>98</v>
      </c>
      <c r="B27" s="32" t="s">
        <v>109</v>
      </c>
      <c r="C27" s="33" t="n">
        <v>1</v>
      </c>
      <c r="D27" s="32" t="s">
        <v>100</v>
      </c>
      <c r="E27" s="34" t="s">
        <v>102</v>
      </c>
      <c r="F27" s="35" t="n">
        <v>1.05</v>
      </c>
      <c r="G27" s="33" t="n">
        <v>1</v>
      </c>
      <c r="H27" s="32" t="n">
        <v>0</v>
      </c>
      <c r="I27" s="33" t="n">
        <v>10</v>
      </c>
      <c r="J27" s="32" t="n">
        <v>2</v>
      </c>
      <c r="K27" s="32" t="n">
        <v>25.4</v>
      </c>
      <c r="L27" s="33" t="n">
        <v>0</v>
      </c>
      <c r="M27" s="32" t="n">
        <v>1.5</v>
      </c>
      <c r="N27" s="32" t="n">
        <v>105</v>
      </c>
      <c r="O27" s="32" t="n">
        <v>27</v>
      </c>
      <c r="P27" s="27" t="s">
        <v>60</v>
      </c>
      <c r="Q27" s="36" t="str">
        <f aca="false">"Food "&amp;A27&amp;" "&amp;B27&amp;" Syringe @"&amp;TEXT(C27,"0.00")&amp;"mm.json"</f>
        <v>Food Medium Stainless Steel Syringe @1.00mm.json</v>
      </c>
      <c r="R27" s="4"/>
      <c r="S27" s="4"/>
      <c r="T27" s="4"/>
      <c r="U27" s="4"/>
      <c r="V27" s="4"/>
    </row>
    <row r="28" customFormat="false" ht="46.25" hidden="false" customHeight="false" outlineLevel="0" collapsed="false">
      <c r="A28" s="32" t="s">
        <v>98</v>
      </c>
      <c r="B28" s="32" t="s">
        <v>109</v>
      </c>
      <c r="C28" s="33" t="n">
        <v>2</v>
      </c>
      <c r="D28" s="32" t="s">
        <v>100</v>
      </c>
      <c r="E28" s="34" t="s">
        <v>103</v>
      </c>
      <c r="F28" s="35" t="n">
        <v>1.05</v>
      </c>
      <c r="G28" s="33" t="n">
        <v>1</v>
      </c>
      <c r="H28" s="32" t="n">
        <v>0</v>
      </c>
      <c r="I28" s="33" t="n">
        <v>10</v>
      </c>
      <c r="J28" s="32" t="n">
        <v>2</v>
      </c>
      <c r="K28" s="32" t="n">
        <v>25.4</v>
      </c>
      <c r="L28" s="33" t="n">
        <v>0</v>
      </c>
      <c r="M28" s="32" t="n">
        <v>3</v>
      </c>
      <c r="N28" s="32" t="n">
        <v>105</v>
      </c>
      <c r="O28" s="32" t="n">
        <v>108</v>
      </c>
      <c r="P28" s="27" t="s">
        <v>60</v>
      </c>
      <c r="Q28" s="36" t="str">
        <f aca="false">"Food "&amp;A28&amp;" "&amp;B28&amp;" Syringe @"&amp;TEXT(C28,"0.00")&amp;"mm.json"</f>
        <v>Food Medium Stainless Steel Syringe @2.00mm.json</v>
      </c>
      <c r="R28" s="4"/>
      <c r="S28" s="4"/>
      <c r="T28" s="4"/>
      <c r="U28" s="4"/>
      <c r="V28" s="4"/>
    </row>
    <row r="29" customFormat="false" ht="46.25" hidden="false" customHeight="false" outlineLevel="0" collapsed="false">
      <c r="A29" s="32" t="s">
        <v>98</v>
      </c>
      <c r="B29" s="32" t="s">
        <v>109</v>
      </c>
      <c r="C29" s="33" t="n">
        <v>3</v>
      </c>
      <c r="D29" s="32" t="s">
        <v>100</v>
      </c>
      <c r="E29" s="34" t="s">
        <v>104</v>
      </c>
      <c r="F29" s="35" t="n">
        <v>1.05</v>
      </c>
      <c r="G29" s="33" t="n">
        <v>1</v>
      </c>
      <c r="H29" s="32" t="n">
        <v>0</v>
      </c>
      <c r="I29" s="33" t="n">
        <v>10</v>
      </c>
      <c r="J29" s="32" t="n">
        <v>2</v>
      </c>
      <c r="K29" s="32" t="n">
        <v>25.4</v>
      </c>
      <c r="L29" s="33" t="n">
        <v>0</v>
      </c>
      <c r="M29" s="32" t="n">
        <v>4.5</v>
      </c>
      <c r="N29" s="32" t="n">
        <v>105</v>
      </c>
      <c r="O29" s="32" t="n">
        <v>216</v>
      </c>
      <c r="P29" s="27" t="s">
        <v>60</v>
      </c>
      <c r="Q29" s="36" t="str">
        <f aca="false">"Food "&amp;A29&amp;" "&amp;B29&amp;" Syringe @"&amp;TEXT(C29,"0.00")&amp;"mm.json"</f>
        <v>Food Medium Stainless Steel Syringe @3.00mm.json</v>
      </c>
      <c r="R29" s="4"/>
      <c r="S29" s="4"/>
      <c r="T29" s="4"/>
      <c r="U29" s="4"/>
      <c r="V29" s="4"/>
    </row>
    <row r="30" customFormat="false" ht="46.25" hidden="false" customHeight="false" outlineLevel="0" collapsed="false">
      <c r="A30" s="32" t="s">
        <v>98</v>
      </c>
      <c r="B30" s="32" t="s">
        <v>109</v>
      </c>
      <c r="C30" s="33" t="n">
        <v>4</v>
      </c>
      <c r="D30" s="32" t="s">
        <v>100</v>
      </c>
      <c r="E30" s="34" t="s">
        <v>105</v>
      </c>
      <c r="F30" s="35" t="n">
        <v>1.05</v>
      </c>
      <c r="G30" s="33" t="n">
        <v>1</v>
      </c>
      <c r="H30" s="32" t="n">
        <v>0</v>
      </c>
      <c r="I30" s="33" t="n">
        <v>10</v>
      </c>
      <c r="J30" s="32" t="n">
        <v>2</v>
      </c>
      <c r="K30" s="32" t="n">
        <v>25.4</v>
      </c>
      <c r="L30" s="33" t="n">
        <v>0</v>
      </c>
      <c r="M30" s="32" t="n">
        <v>6</v>
      </c>
      <c r="N30" s="32" t="n">
        <v>105</v>
      </c>
      <c r="O30" s="32" t="n">
        <v>432</v>
      </c>
      <c r="P30" s="27" t="s">
        <v>60</v>
      </c>
      <c r="Q30" s="36" t="str">
        <f aca="false">"Food "&amp;A30&amp;" "&amp;B30&amp;" Syringe @"&amp;TEXT(C30,"0.00")&amp;"mm.json"</f>
        <v>Food Medium Stainless Steel Syringe @4.00mm.json</v>
      </c>
    </row>
    <row r="31" customFormat="false" ht="46.25" hidden="false" customHeight="false" outlineLevel="0" collapsed="false">
      <c r="A31" s="32" t="s">
        <v>106</v>
      </c>
      <c r="B31" s="32" t="s">
        <v>109</v>
      </c>
      <c r="C31" s="33" t="n">
        <v>0.5</v>
      </c>
      <c r="D31" s="32" t="s">
        <v>100</v>
      </c>
      <c r="E31" s="34" t="s">
        <v>101</v>
      </c>
      <c r="F31" s="35" t="n">
        <v>1.1</v>
      </c>
      <c r="G31" s="32" t="n">
        <v>0.2</v>
      </c>
      <c r="H31" s="32" t="n">
        <v>0</v>
      </c>
      <c r="I31" s="33" t="n">
        <v>10</v>
      </c>
      <c r="J31" s="32" t="n">
        <v>0.4</v>
      </c>
      <c r="K31" s="32" t="n">
        <v>25.4</v>
      </c>
      <c r="L31" s="33" t="n">
        <v>0</v>
      </c>
      <c r="M31" s="32" t="n">
        <v>0.75</v>
      </c>
      <c r="N31" s="32" t="n">
        <v>102</v>
      </c>
      <c r="O31" s="32" t="n">
        <v>10.8</v>
      </c>
      <c r="P31" s="27" t="s">
        <v>60</v>
      </c>
      <c r="Q31" s="36" t="str">
        <f aca="false">"Food "&amp;A31&amp;" "&amp;B31&amp;" Syringe @"&amp;TEXT(C31,"0.00")&amp;"mm.json"</f>
        <v>Food Thin Stainless Steel Syringe @0.50mm.json</v>
      </c>
    </row>
    <row r="32" customFormat="false" ht="46.25" hidden="false" customHeight="false" outlineLevel="0" collapsed="false">
      <c r="A32" s="32" t="s">
        <v>106</v>
      </c>
      <c r="B32" s="32" t="s">
        <v>109</v>
      </c>
      <c r="C32" s="33" t="n">
        <v>1</v>
      </c>
      <c r="D32" s="32" t="s">
        <v>100</v>
      </c>
      <c r="E32" s="34" t="s">
        <v>102</v>
      </c>
      <c r="F32" s="35" t="n">
        <v>1.1</v>
      </c>
      <c r="G32" s="32" t="n">
        <v>0.2</v>
      </c>
      <c r="H32" s="32" t="n">
        <v>0</v>
      </c>
      <c r="I32" s="33" t="n">
        <v>10</v>
      </c>
      <c r="J32" s="32" t="n">
        <v>0.4</v>
      </c>
      <c r="K32" s="32" t="n">
        <v>25.4</v>
      </c>
      <c r="L32" s="33" t="n">
        <v>0</v>
      </c>
      <c r="M32" s="32" t="n">
        <v>1.5</v>
      </c>
      <c r="N32" s="32" t="n">
        <v>102</v>
      </c>
      <c r="O32" s="32" t="n">
        <v>40.5</v>
      </c>
      <c r="P32" s="27" t="s">
        <v>60</v>
      </c>
      <c r="Q32" s="36" t="str">
        <f aca="false">"Food "&amp;A32&amp;" "&amp;B32&amp;" Syringe @"&amp;TEXT(C32,"0.00")&amp;"mm.json"</f>
        <v>Food Thin Stainless Steel Syringe @1.00mm.json</v>
      </c>
    </row>
    <row r="33" customFormat="false" ht="46.25" hidden="false" customHeight="false" outlineLevel="0" collapsed="false">
      <c r="A33" s="32" t="s">
        <v>106</v>
      </c>
      <c r="B33" s="32" t="s">
        <v>109</v>
      </c>
      <c r="C33" s="33" t="n">
        <v>2</v>
      </c>
      <c r="D33" s="32" t="s">
        <v>100</v>
      </c>
      <c r="E33" s="34" t="s">
        <v>103</v>
      </c>
      <c r="F33" s="35" t="n">
        <v>1.1</v>
      </c>
      <c r="G33" s="32" t="n">
        <v>0.2</v>
      </c>
      <c r="H33" s="32" t="n">
        <v>0</v>
      </c>
      <c r="I33" s="33" t="n">
        <v>10</v>
      </c>
      <c r="J33" s="32" t="n">
        <v>0.4</v>
      </c>
      <c r="K33" s="32" t="n">
        <v>25.4</v>
      </c>
      <c r="L33" s="33" t="n">
        <v>0</v>
      </c>
      <c r="M33" s="32" t="n">
        <v>3</v>
      </c>
      <c r="N33" s="32" t="n">
        <v>102</v>
      </c>
      <c r="O33" s="32" t="n">
        <v>162</v>
      </c>
      <c r="P33" s="27" t="s">
        <v>60</v>
      </c>
      <c r="Q33" s="36" t="str">
        <f aca="false">"Food "&amp;A33&amp;" "&amp;B33&amp;" Syringe @"&amp;TEXT(C33,"0.00")&amp;"mm.json"</f>
        <v>Food Thin Stainless Steel Syringe @2.00mm.json</v>
      </c>
    </row>
    <row r="34" customFormat="false" ht="46.25" hidden="false" customHeight="false" outlineLevel="0" collapsed="false">
      <c r="A34" s="32" t="s">
        <v>106</v>
      </c>
      <c r="B34" s="32" t="s">
        <v>109</v>
      </c>
      <c r="C34" s="33" t="n">
        <v>3</v>
      </c>
      <c r="D34" s="32" t="s">
        <v>100</v>
      </c>
      <c r="E34" s="34" t="s">
        <v>104</v>
      </c>
      <c r="F34" s="35" t="n">
        <v>1.1</v>
      </c>
      <c r="G34" s="32" t="n">
        <v>0.2</v>
      </c>
      <c r="H34" s="32" t="n">
        <v>0</v>
      </c>
      <c r="I34" s="33" t="n">
        <v>10</v>
      </c>
      <c r="J34" s="32" t="n">
        <v>0.4</v>
      </c>
      <c r="K34" s="32" t="n">
        <v>25.4</v>
      </c>
      <c r="L34" s="33" t="n">
        <v>0</v>
      </c>
      <c r="M34" s="32" t="n">
        <v>4.5</v>
      </c>
      <c r="N34" s="32" t="n">
        <v>102</v>
      </c>
      <c r="O34" s="32" t="n">
        <v>324</v>
      </c>
      <c r="P34" s="27" t="s">
        <v>60</v>
      </c>
      <c r="Q34" s="36" t="str">
        <f aca="false">"Food "&amp;A34&amp;" "&amp;B34&amp;" Syringe @"&amp;TEXT(C34,"0.00")&amp;"mm.json"</f>
        <v>Food Thin Stainless Steel Syringe @3.00mm.json</v>
      </c>
    </row>
    <row r="35" customFormat="false" ht="46.25" hidden="false" customHeight="false" outlineLevel="0" collapsed="false">
      <c r="A35" s="32" t="s">
        <v>106</v>
      </c>
      <c r="B35" s="32" t="s">
        <v>109</v>
      </c>
      <c r="C35" s="33" t="n">
        <v>4</v>
      </c>
      <c r="D35" s="32" t="s">
        <v>100</v>
      </c>
      <c r="E35" s="34" t="s">
        <v>105</v>
      </c>
      <c r="F35" s="35" t="n">
        <v>1.1</v>
      </c>
      <c r="G35" s="32" t="n">
        <v>0.2</v>
      </c>
      <c r="H35" s="32" t="n">
        <v>0</v>
      </c>
      <c r="I35" s="33" t="n">
        <v>10</v>
      </c>
      <c r="J35" s="32" t="n">
        <v>0.4</v>
      </c>
      <c r="K35" s="32" t="n">
        <v>25.4</v>
      </c>
      <c r="L35" s="33" t="n">
        <v>0</v>
      </c>
      <c r="M35" s="32" t="n">
        <v>6</v>
      </c>
      <c r="N35" s="32" t="n">
        <v>102</v>
      </c>
      <c r="O35" s="32" t="n">
        <v>648</v>
      </c>
      <c r="P35" s="27" t="s">
        <v>60</v>
      </c>
      <c r="Q35" s="36" t="str">
        <f aca="false">"Food "&amp;A35&amp;" "&amp;B35&amp;" Syringe @"&amp;TEXT(C35,"0.00")&amp;"mm.json"</f>
        <v>Food Thin Stainless Steel Syringe @4.00mm.json</v>
      </c>
    </row>
    <row r="36" customFormat="false" ht="46.25" hidden="false" customHeight="false" outlineLevel="0" collapsed="false">
      <c r="A36" s="32" t="s">
        <v>107</v>
      </c>
      <c r="B36" s="32" t="s">
        <v>109</v>
      </c>
      <c r="C36" s="33" t="n">
        <v>0.5</v>
      </c>
      <c r="D36" s="32" t="s">
        <v>100</v>
      </c>
      <c r="E36" s="34" t="s">
        <v>101</v>
      </c>
      <c r="F36" s="35" t="n">
        <v>0.96</v>
      </c>
      <c r="G36" s="32" t="n">
        <v>0.1</v>
      </c>
      <c r="H36" s="32" t="n">
        <v>0.03</v>
      </c>
      <c r="I36" s="33" t="n">
        <v>5</v>
      </c>
      <c r="J36" s="32" t="n">
        <v>0.2</v>
      </c>
      <c r="K36" s="32" t="n">
        <v>25.4</v>
      </c>
      <c r="L36" s="33" t="n">
        <v>0.03</v>
      </c>
      <c r="M36" s="32" t="n">
        <v>0.75</v>
      </c>
      <c r="N36" s="32" t="n">
        <v>100</v>
      </c>
      <c r="O36" s="32" t="n">
        <v>14.4</v>
      </c>
      <c r="P36" s="27" t="s">
        <v>60</v>
      </c>
      <c r="Q36" s="36" t="str">
        <f aca="false">"Food "&amp;A36&amp;" "&amp;B36&amp;" Syringe @"&amp;TEXT(C36,"0.00")&amp;"mm.json"</f>
        <v>Food Very Thin Stainless Steel Syringe @0.50mm.json</v>
      </c>
    </row>
    <row r="37" customFormat="false" ht="46.25" hidden="false" customHeight="false" outlineLevel="0" collapsed="false">
      <c r="A37" s="32" t="s">
        <v>107</v>
      </c>
      <c r="B37" s="32" t="s">
        <v>109</v>
      </c>
      <c r="C37" s="33" t="n">
        <v>1</v>
      </c>
      <c r="D37" s="32" t="s">
        <v>100</v>
      </c>
      <c r="E37" s="34" t="s">
        <v>102</v>
      </c>
      <c r="F37" s="35" t="n">
        <v>0.96</v>
      </c>
      <c r="G37" s="32" t="n">
        <v>0.1</v>
      </c>
      <c r="H37" s="32" t="n">
        <v>0.03</v>
      </c>
      <c r="I37" s="33" t="n">
        <v>5</v>
      </c>
      <c r="J37" s="32" t="n">
        <v>0.2</v>
      </c>
      <c r="K37" s="32" t="n">
        <v>25.4</v>
      </c>
      <c r="L37" s="33" t="n">
        <v>0.03</v>
      </c>
      <c r="M37" s="32" t="n">
        <v>1.5</v>
      </c>
      <c r="N37" s="32" t="n">
        <v>100</v>
      </c>
      <c r="O37" s="32" t="n">
        <v>54</v>
      </c>
      <c r="P37" s="27" t="s">
        <v>60</v>
      </c>
      <c r="Q37" s="36" t="str">
        <f aca="false">"Food "&amp;A37&amp;" "&amp;B37&amp;"  Syringe  @"&amp;TEXT(C37,"0.00")&amp;"mm.json"</f>
        <v>Food Very Thin Stainless Steel  Syringe  @1.00mm.json</v>
      </c>
    </row>
    <row r="38" customFormat="false" ht="46.25" hidden="false" customHeight="false" outlineLevel="0" collapsed="false">
      <c r="A38" s="32" t="s">
        <v>107</v>
      </c>
      <c r="B38" s="32" t="s">
        <v>109</v>
      </c>
      <c r="C38" s="33" t="n">
        <v>2</v>
      </c>
      <c r="D38" s="32" t="s">
        <v>100</v>
      </c>
      <c r="E38" s="34" t="s">
        <v>103</v>
      </c>
      <c r="F38" s="35" t="n">
        <v>0.96</v>
      </c>
      <c r="G38" s="32" t="n">
        <v>0.1</v>
      </c>
      <c r="H38" s="32" t="n">
        <v>0.03</v>
      </c>
      <c r="I38" s="33" t="n">
        <v>5</v>
      </c>
      <c r="J38" s="32" t="n">
        <v>0.2</v>
      </c>
      <c r="K38" s="32" t="n">
        <v>25.4</v>
      </c>
      <c r="L38" s="33" t="n">
        <v>0.03</v>
      </c>
      <c r="M38" s="32" t="n">
        <v>3</v>
      </c>
      <c r="N38" s="32" t="n">
        <v>100</v>
      </c>
      <c r="O38" s="32" t="n">
        <v>216</v>
      </c>
      <c r="P38" s="27" t="s">
        <v>60</v>
      </c>
      <c r="Q38" s="36" t="str">
        <f aca="false">"Food "&amp;A38&amp;" "&amp;B38&amp;"  Syringe  @"&amp;TEXT(C38,"0.00")&amp;"mm.json"</f>
        <v>Food Very Thin Stainless Steel  Syringe  @2.00mm.json</v>
      </c>
    </row>
    <row r="39" customFormat="false" ht="46.25" hidden="false" customHeight="false" outlineLevel="0" collapsed="false">
      <c r="A39" s="32" t="s">
        <v>107</v>
      </c>
      <c r="B39" s="32" t="s">
        <v>109</v>
      </c>
      <c r="C39" s="33" t="n">
        <v>3</v>
      </c>
      <c r="D39" s="32" t="s">
        <v>100</v>
      </c>
      <c r="E39" s="34" t="s">
        <v>104</v>
      </c>
      <c r="F39" s="35" t="n">
        <v>0.96</v>
      </c>
      <c r="G39" s="32" t="n">
        <v>0.1</v>
      </c>
      <c r="H39" s="32" t="n">
        <v>0.03</v>
      </c>
      <c r="I39" s="33" t="n">
        <v>5</v>
      </c>
      <c r="J39" s="32" t="n">
        <v>0.2</v>
      </c>
      <c r="K39" s="32" t="n">
        <v>25.4</v>
      </c>
      <c r="L39" s="33" t="n">
        <v>0.03</v>
      </c>
      <c r="M39" s="32" t="n">
        <v>4.5</v>
      </c>
      <c r="N39" s="32" t="n">
        <v>100</v>
      </c>
      <c r="O39" s="32" t="n">
        <v>432</v>
      </c>
      <c r="P39" s="27" t="s">
        <v>60</v>
      </c>
      <c r="Q39" s="36" t="str">
        <f aca="false">"Food "&amp;A39&amp;" "&amp;B39&amp;"  Syringe  @"&amp;TEXT(C39,"0.00")&amp;"mm.json"</f>
        <v>Food Very Thin Stainless Steel  Syringe  @3.00mm.json</v>
      </c>
    </row>
    <row r="40" customFormat="false" ht="46.25" hidden="false" customHeight="false" outlineLevel="0" collapsed="false">
      <c r="A40" s="32" t="s">
        <v>107</v>
      </c>
      <c r="B40" s="32" t="s">
        <v>109</v>
      </c>
      <c r="C40" s="33" t="n">
        <v>4</v>
      </c>
      <c r="D40" s="32" t="s">
        <v>100</v>
      </c>
      <c r="E40" s="34" t="s">
        <v>105</v>
      </c>
      <c r="F40" s="35" t="n">
        <v>0.96</v>
      </c>
      <c r="G40" s="32" t="n">
        <v>0.1</v>
      </c>
      <c r="H40" s="32" t="n">
        <v>0.03</v>
      </c>
      <c r="I40" s="33" t="n">
        <v>5</v>
      </c>
      <c r="J40" s="32" t="n">
        <v>0.2</v>
      </c>
      <c r="K40" s="32" t="n">
        <v>25.4</v>
      </c>
      <c r="L40" s="33" t="n">
        <v>0.03</v>
      </c>
      <c r="M40" s="32" t="n">
        <v>6</v>
      </c>
      <c r="N40" s="32" t="n">
        <v>100</v>
      </c>
      <c r="O40" s="32" t="n">
        <v>864</v>
      </c>
      <c r="P40" s="27" t="s">
        <v>60</v>
      </c>
      <c r="Q40" s="36" t="str">
        <f aca="false">"Food "&amp;A40&amp;" "&amp;B40&amp;"  Syringe  @"&amp;TEXT(C40,"0.00")&amp;"mm.json"</f>
        <v>Food Very Thin Stainless Steel  Syringe  @4.00mm.json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20" activeCellId="0" sqref="M2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15"/>
    <col collapsed="false" customWidth="true" hidden="false" outlineLevel="0" max="4" min="4" style="1" width="31.11"/>
    <col collapsed="false" customWidth="true" hidden="false" outlineLevel="0" max="5" min="5" style="37" width="26.31"/>
    <col collapsed="false" customWidth="true" hidden="false" outlineLevel="0" max="6" min="6" style="1" width="17.96"/>
    <col collapsed="false" customWidth="true" hidden="false" outlineLevel="0" max="7" min="7" style="1" width="22.26"/>
    <col collapsed="false" customWidth="true" hidden="false" outlineLevel="0" max="8" min="8" style="1" width="15.94"/>
    <col collapsed="false" customWidth="true" hidden="false" outlineLevel="0" max="9" min="9" style="1" width="12.9"/>
    <col collapsed="false" customWidth="true" hidden="false" outlineLevel="0" max="10" min="10" style="1" width="15.31"/>
    <col collapsed="false" customWidth="true" hidden="false" outlineLevel="0" max="11" min="11" style="1" width="10.51"/>
    <col collapsed="false" customWidth="true" hidden="false" outlineLevel="0" max="13" min="13" style="1" width="37.69"/>
  </cols>
  <sheetData>
    <row r="1" customFormat="false" ht="27.8" hidden="false" customHeight="true" outlineLevel="0" collapsed="false">
      <c r="A1" s="23" t="s">
        <v>111</v>
      </c>
      <c r="B1" s="23" t="s">
        <v>112</v>
      </c>
      <c r="C1" s="23" t="s">
        <v>40</v>
      </c>
      <c r="D1" s="23" t="s">
        <v>7</v>
      </c>
      <c r="E1" s="23" t="s">
        <v>41</v>
      </c>
      <c r="F1" s="24" t="s">
        <v>113</v>
      </c>
      <c r="G1" s="23" t="s">
        <v>114</v>
      </c>
      <c r="H1" s="23" t="s">
        <v>115</v>
      </c>
      <c r="I1" s="23" t="s">
        <v>116</v>
      </c>
      <c r="J1" s="23" t="s">
        <v>117</v>
      </c>
      <c r="K1" s="23" t="s">
        <v>118</v>
      </c>
      <c r="L1" s="23" t="s">
        <v>119</v>
      </c>
      <c r="M1" s="38" t="s">
        <v>13</v>
      </c>
    </row>
    <row r="2" customFormat="false" ht="45.75" hidden="false" customHeight="false" outlineLevel="0" collapsed="false">
      <c r="A2" s="39" t="s">
        <v>120</v>
      </c>
      <c r="B2" s="39" t="s">
        <v>121</v>
      </c>
      <c r="C2" s="39" t="n">
        <v>0.5</v>
      </c>
      <c r="D2" s="39" t="s">
        <v>122</v>
      </c>
      <c r="E2" s="40" t="s">
        <v>101</v>
      </c>
      <c r="F2" s="39" t="n">
        <v>0.25</v>
      </c>
      <c r="G2" s="39" t="n">
        <v>0.25</v>
      </c>
      <c r="H2" s="39" t="n">
        <v>0.6</v>
      </c>
      <c r="I2" s="39" t="n">
        <v>4</v>
      </c>
      <c r="J2" s="39" t="n">
        <v>0.25</v>
      </c>
      <c r="K2" s="39" t="n">
        <v>60</v>
      </c>
      <c r="L2" s="39" t="n">
        <v>60</v>
      </c>
      <c r="M2" s="41" t="str">
        <f aca="false">A2&amp;" "&amp;B2&amp;" @ "&amp;TEXT(C2,"0.00")&amp;"mm.json"</f>
        <v>FELIX Food Fine @ 0.50mm.json</v>
      </c>
    </row>
    <row r="3" customFormat="false" ht="46.25" hidden="false" customHeight="false" outlineLevel="0" collapsed="false">
      <c r="A3" s="39" t="s">
        <v>120</v>
      </c>
      <c r="B3" s="39" t="s">
        <v>123</v>
      </c>
      <c r="C3" s="39" t="n">
        <v>0.5</v>
      </c>
      <c r="D3" s="39" t="s">
        <v>122</v>
      </c>
      <c r="E3" s="40" t="s">
        <v>101</v>
      </c>
      <c r="F3" s="39" t="n">
        <v>0.32</v>
      </c>
      <c r="G3" s="39" t="n">
        <v>0.32</v>
      </c>
      <c r="H3" s="39" t="n">
        <v>0.6</v>
      </c>
      <c r="I3" s="39" t="n">
        <v>3</v>
      </c>
      <c r="J3" s="39" t="n">
        <v>0.32</v>
      </c>
      <c r="K3" s="39" t="n">
        <v>60</v>
      </c>
      <c r="L3" s="39" t="n">
        <v>60</v>
      </c>
      <c r="M3" s="41" t="str">
        <f aca="false">A3&amp;" "&amp;B3&amp;" @ "&amp;TEXT(C3,"0.00")&amp;"mm.json"</f>
        <v>FELIX Food Normal @ 0.50mm.json</v>
      </c>
    </row>
    <row r="4" customFormat="false" ht="46.25" hidden="false" customHeight="false" outlineLevel="0" collapsed="false">
      <c r="A4" s="39" t="s">
        <v>120</v>
      </c>
      <c r="B4" s="39" t="s">
        <v>124</v>
      </c>
      <c r="C4" s="39" t="n">
        <v>0.5</v>
      </c>
      <c r="D4" s="39" t="s">
        <v>122</v>
      </c>
      <c r="E4" s="40" t="s">
        <v>101</v>
      </c>
      <c r="F4" s="39" t="n">
        <v>0.4</v>
      </c>
      <c r="G4" s="39" t="n">
        <v>0.4</v>
      </c>
      <c r="H4" s="39" t="n">
        <v>0.6</v>
      </c>
      <c r="I4" s="39" t="n">
        <v>2</v>
      </c>
      <c r="J4" s="39" t="n">
        <v>0.4</v>
      </c>
      <c r="K4" s="39" t="n">
        <v>60</v>
      </c>
      <c r="L4" s="39" t="n">
        <v>60</v>
      </c>
      <c r="M4" s="41" t="str">
        <f aca="false">A4&amp;" "&amp;B4&amp;" @ "&amp;TEXT(C4,"0.00")&amp;"mm.json"</f>
        <v>FELIX Food Coarse @ 0.50mm.json</v>
      </c>
    </row>
    <row r="5" customFormat="false" ht="46.25" hidden="false" customHeight="false" outlineLevel="0" collapsed="false">
      <c r="A5" s="39" t="s">
        <v>120</v>
      </c>
      <c r="B5" s="39" t="s">
        <v>121</v>
      </c>
      <c r="C5" s="39" t="n">
        <v>1</v>
      </c>
      <c r="D5" s="39" t="s">
        <v>122</v>
      </c>
      <c r="E5" s="40" t="s">
        <v>102</v>
      </c>
      <c r="F5" s="39" t="n">
        <v>0.5</v>
      </c>
      <c r="G5" s="39" t="n">
        <v>0.5</v>
      </c>
      <c r="H5" s="39" t="n">
        <v>1.2</v>
      </c>
      <c r="I5" s="39" t="n">
        <v>2</v>
      </c>
      <c r="J5" s="39" t="n">
        <v>0.5</v>
      </c>
      <c r="K5" s="39" t="n">
        <v>60</v>
      </c>
      <c r="L5" s="39" t="n">
        <v>60</v>
      </c>
      <c r="M5" s="41" t="str">
        <f aca="false">A5&amp;" "&amp;B5&amp;" @ "&amp;TEXT(C5,"0.00")&amp;"mm.json"</f>
        <v>FELIX Food Fine @ 1.00mm.json</v>
      </c>
    </row>
    <row r="6" customFormat="false" ht="46.25" hidden="false" customHeight="false" outlineLevel="0" collapsed="false">
      <c r="A6" s="39" t="s">
        <v>120</v>
      </c>
      <c r="B6" s="39" t="s">
        <v>123</v>
      </c>
      <c r="C6" s="39" t="n">
        <v>1</v>
      </c>
      <c r="D6" s="39" t="s">
        <v>122</v>
      </c>
      <c r="E6" s="40" t="s">
        <v>102</v>
      </c>
      <c r="F6" s="39" t="n">
        <v>0.62</v>
      </c>
      <c r="G6" s="39" t="n">
        <v>0.62</v>
      </c>
      <c r="H6" s="39" t="n">
        <v>1.2</v>
      </c>
      <c r="I6" s="39" t="n">
        <v>2</v>
      </c>
      <c r="J6" s="39" t="n">
        <v>0.62</v>
      </c>
      <c r="K6" s="39" t="n">
        <v>60</v>
      </c>
      <c r="L6" s="39" t="n">
        <v>60</v>
      </c>
      <c r="M6" s="41" t="str">
        <f aca="false">A6&amp;" "&amp;B6&amp;" @ "&amp;TEXT(C6,"0.00")&amp;"mm.json"</f>
        <v>FELIX Food Normal @ 1.00mm.json</v>
      </c>
    </row>
    <row r="7" customFormat="false" ht="46.25" hidden="false" customHeight="false" outlineLevel="0" collapsed="false">
      <c r="A7" s="39" t="s">
        <v>120</v>
      </c>
      <c r="B7" s="39" t="s">
        <v>124</v>
      </c>
      <c r="C7" s="39" t="n">
        <v>1</v>
      </c>
      <c r="D7" s="39" t="s">
        <v>122</v>
      </c>
      <c r="E7" s="40" t="s">
        <v>102</v>
      </c>
      <c r="F7" s="39" t="n">
        <v>0.75</v>
      </c>
      <c r="G7" s="39" t="n">
        <v>0.75</v>
      </c>
      <c r="H7" s="39" t="n">
        <v>1.2</v>
      </c>
      <c r="I7" s="39" t="n">
        <v>2</v>
      </c>
      <c r="J7" s="39" t="n">
        <v>0.75</v>
      </c>
      <c r="K7" s="39" t="n">
        <v>60</v>
      </c>
      <c r="L7" s="39" t="n">
        <v>60</v>
      </c>
      <c r="M7" s="41" t="str">
        <f aca="false">A7&amp;" "&amp;B7&amp;" @ "&amp;TEXT(C7,"0.00")&amp;"mm.json"</f>
        <v>FELIX Food Coarse @ 1.00mm.json</v>
      </c>
    </row>
    <row r="8" customFormat="false" ht="46.25" hidden="false" customHeight="false" outlineLevel="0" collapsed="false">
      <c r="A8" s="39" t="s">
        <v>120</v>
      </c>
      <c r="B8" s="39" t="s">
        <v>121</v>
      </c>
      <c r="C8" s="39" t="n">
        <v>2</v>
      </c>
      <c r="D8" s="39" t="s">
        <v>122</v>
      </c>
      <c r="E8" s="40" t="s">
        <v>103</v>
      </c>
      <c r="F8" s="39" t="n">
        <v>1</v>
      </c>
      <c r="G8" s="39" t="n">
        <v>1</v>
      </c>
      <c r="H8" s="39" t="n">
        <v>2.4</v>
      </c>
      <c r="I8" s="39" t="n">
        <v>2</v>
      </c>
      <c r="J8" s="39" t="n">
        <v>1</v>
      </c>
      <c r="K8" s="39" t="n">
        <v>60</v>
      </c>
      <c r="L8" s="39" t="n">
        <v>60</v>
      </c>
      <c r="M8" s="41" t="str">
        <f aca="false">A8&amp;" "&amp;B8&amp;" @ "&amp;TEXT(C8,"0.00")&amp;"mm.json"</f>
        <v>FELIX Food Fine @ 2.00mm.json</v>
      </c>
    </row>
    <row r="9" customFormat="false" ht="46.25" hidden="false" customHeight="false" outlineLevel="0" collapsed="false">
      <c r="A9" s="39" t="s">
        <v>120</v>
      </c>
      <c r="B9" s="39" t="s">
        <v>123</v>
      </c>
      <c r="C9" s="39" t="n">
        <v>2</v>
      </c>
      <c r="D9" s="39" t="s">
        <v>122</v>
      </c>
      <c r="E9" s="40" t="s">
        <v>103</v>
      </c>
      <c r="F9" s="39" t="n">
        <v>1.25</v>
      </c>
      <c r="G9" s="39" t="n">
        <v>1.25</v>
      </c>
      <c r="H9" s="39" t="n">
        <v>2.4</v>
      </c>
      <c r="I9" s="39" t="n">
        <v>2</v>
      </c>
      <c r="J9" s="39" t="n">
        <v>1.25</v>
      </c>
      <c r="K9" s="39" t="n">
        <v>60</v>
      </c>
      <c r="L9" s="39" t="n">
        <v>60</v>
      </c>
      <c r="M9" s="41" t="str">
        <f aca="false">A9&amp;" "&amp;B9&amp;" @ "&amp;TEXT(C9,"0.00")&amp;"mm.json"</f>
        <v>FELIX Food Normal @ 2.00mm.json</v>
      </c>
    </row>
    <row r="10" customFormat="false" ht="46.25" hidden="false" customHeight="false" outlineLevel="0" collapsed="false">
      <c r="A10" s="39" t="s">
        <v>120</v>
      </c>
      <c r="B10" s="39" t="s">
        <v>124</v>
      </c>
      <c r="C10" s="39" t="n">
        <v>2</v>
      </c>
      <c r="D10" s="39" t="s">
        <v>122</v>
      </c>
      <c r="E10" s="40" t="s">
        <v>103</v>
      </c>
      <c r="F10" s="39" t="n">
        <v>1.5</v>
      </c>
      <c r="G10" s="39" t="n">
        <v>1.5</v>
      </c>
      <c r="H10" s="39" t="n">
        <v>2.4</v>
      </c>
      <c r="I10" s="39" t="n">
        <v>2</v>
      </c>
      <c r="J10" s="39" t="n">
        <v>1.5</v>
      </c>
      <c r="K10" s="39" t="n">
        <v>60</v>
      </c>
      <c r="L10" s="39" t="n">
        <v>60</v>
      </c>
      <c r="M10" s="41" t="str">
        <f aca="false">A10&amp;" "&amp;B10&amp;" @ "&amp;TEXT(C10,"0.00")&amp;"mm.json"</f>
        <v>FELIX Food Coarse @ 2.00mm.json</v>
      </c>
    </row>
    <row r="11" customFormat="false" ht="46.25" hidden="false" customHeight="false" outlineLevel="0" collapsed="false">
      <c r="A11" s="39" t="s">
        <v>120</v>
      </c>
      <c r="B11" s="39" t="s">
        <v>121</v>
      </c>
      <c r="C11" s="39" t="n">
        <v>3</v>
      </c>
      <c r="D11" s="39" t="s">
        <v>122</v>
      </c>
      <c r="E11" s="40" t="s">
        <v>104</v>
      </c>
      <c r="F11" s="39" t="n">
        <v>1.5</v>
      </c>
      <c r="G11" s="39" t="n">
        <v>1.5</v>
      </c>
      <c r="H11" s="39" t="n">
        <v>3.6</v>
      </c>
      <c r="I11" s="39" t="n">
        <v>2</v>
      </c>
      <c r="J11" s="39" t="n">
        <v>1.5</v>
      </c>
      <c r="K11" s="39" t="n">
        <v>60</v>
      </c>
      <c r="L11" s="39" t="n">
        <v>60</v>
      </c>
      <c r="M11" s="41" t="str">
        <f aca="false">A11&amp;" "&amp;B11&amp;" @ "&amp;TEXT(C11,"0.00")&amp;"mm.json"</f>
        <v>FELIX Food Fine @ 3.00mm.json</v>
      </c>
    </row>
    <row r="12" customFormat="false" ht="46.25" hidden="false" customHeight="false" outlineLevel="0" collapsed="false">
      <c r="A12" s="39" t="s">
        <v>120</v>
      </c>
      <c r="B12" s="39" t="s">
        <v>123</v>
      </c>
      <c r="C12" s="39" t="n">
        <v>3</v>
      </c>
      <c r="D12" s="39" t="s">
        <v>122</v>
      </c>
      <c r="E12" s="40" t="s">
        <v>104</v>
      </c>
      <c r="F12" s="39" t="n">
        <v>1.75</v>
      </c>
      <c r="G12" s="39" t="n">
        <v>1.75</v>
      </c>
      <c r="H12" s="39" t="n">
        <v>3.6</v>
      </c>
      <c r="I12" s="39" t="n">
        <v>2</v>
      </c>
      <c r="J12" s="39" t="n">
        <v>1.75</v>
      </c>
      <c r="K12" s="39" t="n">
        <v>60</v>
      </c>
      <c r="L12" s="39" t="n">
        <v>60</v>
      </c>
      <c r="M12" s="41" t="str">
        <f aca="false">A12&amp;" "&amp;B12&amp;" @ "&amp;TEXT(C12,"0.00")&amp;"mm.json"</f>
        <v>FELIX Food Normal @ 3.00mm.json</v>
      </c>
    </row>
    <row r="13" customFormat="false" ht="46.25" hidden="false" customHeight="false" outlineLevel="0" collapsed="false">
      <c r="A13" s="39" t="s">
        <v>120</v>
      </c>
      <c r="B13" s="39" t="s">
        <v>124</v>
      </c>
      <c r="C13" s="39" t="n">
        <v>3</v>
      </c>
      <c r="D13" s="39" t="s">
        <v>122</v>
      </c>
      <c r="E13" s="40" t="s">
        <v>104</v>
      </c>
      <c r="F13" s="39" t="n">
        <v>2</v>
      </c>
      <c r="G13" s="39" t="n">
        <v>2</v>
      </c>
      <c r="H13" s="39" t="n">
        <v>3.6</v>
      </c>
      <c r="I13" s="39" t="n">
        <v>2</v>
      </c>
      <c r="J13" s="39" t="n">
        <v>2</v>
      </c>
      <c r="K13" s="39" t="n">
        <v>60</v>
      </c>
      <c r="L13" s="39" t="n">
        <v>60</v>
      </c>
      <c r="M13" s="41" t="str">
        <f aca="false">A13&amp;" "&amp;B13&amp;" @ "&amp;TEXT(C13,"0.00")&amp;"mm.json"</f>
        <v>FELIX Food Coarse @ 3.00mm.json</v>
      </c>
    </row>
    <row r="14" customFormat="false" ht="46.25" hidden="false" customHeight="false" outlineLevel="0" collapsed="false">
      <c r="A14" s="39" t="s">
        <v>120</v>
      </c>
      <c r="B14" s="39" t="s">
        <v>121</v>
      </c>
      <c r="C14" s="39" t="n">
        <v>4</v>
      </c>
      <c r="D14" s="39" t="s">
        <v>122</v>
      </c>
      <c r="E14" s="40" t="s">
        <v>105</v>
      </c>
      <c r="F14" s="39" t="n">
        <v>2</v>
      </c>
      <c r="G14" s="39" t="n">
        <v>2</v>
      </c>
      <c r="H14" s="39" t="n">
        <v>4.8</v>
      </c>
      <c r="I14" s="39" t="n">
        <v>2</v>
      </c>
      <c r="J14" s="39" t="n">
        <v>2</v>
      </c>
      <c r="K14" s="39" t="n">
        <v>60</v>
      </c>
      <c r="L14" s="39" t="n">
        <v>60</v>
      </c>
      <c r="M14" s="41" t="str">
        <f aca="false">A14&amp;" "&amp;B14&amp;" @ "&amp;TEXT(C14,"0.00")&amp;"mm.json"</f>
        <v>FELIX Food Fine @ 4.00mm.json</v>
      </c>
    </row>
    <row r="15" customFormat="false" ht="46.25" hidden="false" customHeight="false" outlineLevel="0" collapsed="false">
      <c r="A15" s="39" t="s">
        <v>120</v>
      </c>
      <c r="B15" s="39" t="s">
        <v>123</v>
      </c>
      <c r="C15" s="39" t="n">
        <v>4</v>
      </c>
      <c r="D15" s="39" t="s">
        <v>122</v>
      </c>
      <c r="E15" s="40" t="s">
        <v>105</v>
      </c>
      <c r="F15" s="39" t="n">
        <v>2.5</v>
      </c>
      <c r="G15" s="39" t="n">
        <v>2.5</v>
      </c>
      <c r="H15" s="39" t="n">
        <v>4.8</v>
      </c>
      <c r="I15" s="39" t="n">
        <v>2</v>
      </c>
      <c r="J15" s="39" t="n">
        <v>2.5</v>
      </c>
      <c r="K15" s="39" t="n">
        <v>60</v>
      </c>
      <c r="L15" s="39" t="n">
        <v>60</v>
      </c>
      <c r="M15" s="41" t="str">
        <f aca="false">A15&amp;" "&amp;B15&amp;" @ "&amp;TEXT(C15,"0.00")&amp;"mm.json"</f>
        <v>FELIX Food Normal @ 4.00mm.json</v>
      </c>
    </row>
    <row r="16" customFormat="false" ht="46.25" hidden="false" customHeight="false" outlineLevel="0" collapsed="false">
      <c r="A16" s="39" t="s">
        <v>120</v>
      </c>
      <c r="B16" s="39" t="s">
        <v>124</v>
      </c>
      <c r="C16" s="39" t="n">
        <v>4</v>
      </c>
      <c r="D16" s="39" t="s">
        <v>122</v>
      </c>
      <c r="E16" s="40" t="s">
        <v>105</v>
      </c>
      <c r="F16" s="39" t="n">
        <v>3</v>
      </c>
      <c r="G16" s="39" t="n">
        <v>3</v>
      </c>
      <c r="H16" s="39" t="n">
        <v>4.8</v>
      </c>
      <c r="I16" s="39" t="n">
        <v>2</v>
      </c>
      <c r="J16" s="39" t="n">
        <v>3</v>
      </c>
      <c r="K16" s="39" t="n">
        <v>60</v>
      </c>
      <c r="L16" s="39" t="n">
        <v>60</v>
      </c>
      <c r="M16" s="41" t="str">
        <f aca="false">A16&amp;" "&amp;B16&amp;" @ "&amp;TEXT(C16,"0.00")&amp;"mm.json"</f>
        <v>FELIX Food Coarse @ 4.00mm.json</v>
      </c>
    </row>
    <row r="17" customFormat="false" ht="57.45" hidden="false" customHeight="false" outlineLevel="0" collapsed="false">
      <c r="A17" s="39" t="s">
        <v>125</v>
      </c>
      <c r="B17" s="39" t="s">
        <v>126</v>
      </c>
      <c r="C17" s="39" t="n">
        <v>0.25</v>
      </c>
      <c r="D17" s="39" t="s">
        <v>127</v>
      </c>
      <c r="E17" s="40" t="s">
        <v>58</v>
      </c>
      <c r="F17" s="39" t="n">
        <v>0.05</v>
      </c>
      <c r="G17" s="39" t="n">
        <v>0.2</v>
      </c>
      <c r="H17" s="39" t="n">
        <v>0.28</v>
      </c>
      <c r="I17" s="39" t="n">
        <v>9</v>
      </c>
      <c r="J17" s="39" t="n">
        <v>0.25</v>
      </c>
      <c r="K17" s="39" t="n">
        <v>60</v>
      </c>
      <c r="L17" s="39" t="n">
        <v>30</v>
      </c>
      <c r="M17" s="41" t="str">
        <f aca="false">A17&amp;" "&amp;B17&amp;" @ "&amp;TEXT(C17,"0.00")&amp;"mm.json"</f>
        <v>FELIX Plastic Super Fine @ 0.25mm.json</v>
      </c>
    </row>
    <row r="18" customFormat="false" ht="57.45" hidden="false" customHeight="false" outlineLevel="0" collapsed="false">
      <c r="A18" s="39" t="s">
        <v>125</v>
      </c>
      <c r="B18" s="39" t="s">
        <v>128</v>
      </c>
      <c r="C18" s="39" t="n">
        <v>0.25</v>
      </c>
      <c r="D18" s="39" t="s">
        <v>127</v>
      </c>
      <c r="E18" s="40" t="s">
        <v>58</v>
      </c>
      <c r="F18" s="39" t="n">
        <v>0.1</v>
      </c>
      <c r="G18" s="39" t="n">
        <v>0.2</v>
      </c>
      <c r="H18" s="39" t="n">
        <v>0.28</v>
      </c>
      <c r="I18" s="39" t="n">
        <v>6</v>
      </c>
      <c r="J18" s="39" t="n">
        <v>0.3</v>
      </c>
      <c r="K18" s="39" t="n">
        <v>60</v>
      </c>
      <c r="L18" s="39" t="n">
        <v>30</v>
      </c>
      <c r="M18" s="41" t="str">
        <f aca="false">A18&amp;" "&amp;B18&amp;" @ "&amp;TEXT(C18,"0.00")&amp;"mm.json"</f>
        <v>FELIX Plastic Very Fine @ 0.25mm.json</v>
      </c>
    </row>
    <row r="19" customFormat="false" ht="57.45" hidden="false" customHeight="false" outlineLevel="0" collapsed="false">
      <c r="A19" s="39" t="s">
        <v>125</v>
      </c>
      <c r="B19" s="39" t="s">
        <v>121</v>
      </c>
      <c r="C19" s="39" t="n">
        <v>0.25</v>
      </c>
      <c r="D19" s="39" t="s">
        <v>127</v>
      </c>
      <c r="E19" s="40" t="s">
        <v>58</v>
      </c>
      <c r="F19" s="39" t="n">
        <v>0.15</v>
      </c>
      <c r="G19" s="39" t="n">
        <v>0.2</v>
      </c>
      <c r="H19" s="39" t="n">
        <v>0.28</v>
      </c>
      <c r="I19" s="39" t="n">
        <v>5</v>
      </c>
      <c r="J19" s="39" t="n">
        <v>0.3</v>
      </c>
      <c r="K19" s="39" t="n">
        <v>60</v>
      </c>
      <c r="L19" s="39" t="n">
        <v>30</v>
      </c>
      <c r="M19" s="41" t="str">
        <f aca="false">A19&amp;" "&amp;B19&amp;" @ "&amp;TEXT(C19,"0.00")&amp;"mm.json"</f>
        <v>FELIX Plastic Fine @ 0.25mm.json</v>
      </c>
    </row>
    <row r="20" customFormat="false" ht="57.45" hidden="false" customHeight="false" outlineLevel="0" collapsed="false">
      <c r="A20" s="39" t="s">
        <v>125</v>
      </c>
      <c r="B20" s="39" t="s">
        <v>123</v>
      </c>
      <c r="C20" s="39" t="n">
        <v>0.25</v>
      </c>
      <c r="D20" s="39" t="s">
        <v>127</v>
      </c>
      <c r="E20" s="40" t="s">
        <v>58</v>
      </c>
      <c r="F20" s="39" t="n">
        <v>0.2</v>
      </c>
      <c r="G20" s="39" t="n">
        <v>0.2</v>
      </c>
      <c r="H20" s="39" t="n">
        <v>0.28</v>
      </c>
      <c r="I20" s="39" t="n">
        <v>4</v>
      </c>
      <c r="J20" s="39" t="n">
        <v>0.4</v>
      </c>
      <c r="K20" s="39" t="n">
        <v>60</v>
      </c>
      <c r="L20" s="39" t="n">
        <v>30</v>
      </c>
      <c r="M20" s="41" t="str">
        <f aca="false">A20&amp;" "&amp;B20&amp;" @ "&amp;TEXT(C20,"0.00")&amp;"mm.json"</f>
        <v>FELIX Plastic Normal @ 0.25mm.json</v>
      </c>
    </row>
    <row r="21" customFormat="false" ht="57.45" hidden="false" customHeight="false" outlineLevel="0" collapsed="false">
      <c r="A21" s="39" t="s">
        <v>125</v>
      </c>
      <c r="B21" s="39" t="s">
        <v>126</v>
      </c>
      <c r="C21" s="39" t="n">
        <v>0.35</v>
      </c>
      <c r="D21" s="39" t="s">
        <v>127</v>
      </c>
      <c r="E21" s="40" t="s">
        <v>61</v>
      </c>
      <c r="F21" s="39" t="n">
        <v>0.05</v>
      </c>
      <c r="G21" s="39" t="n">
        <v>0.25</v>
      </c>
      <c r="H21" s="39" t="n">
        <v>0.38</v>
      </c>
      <c r="I21" s="39" t="n">
        <v>9</v>
      </c>
      <c r="J21" s="39" t="n">
        <v>0.25</v>
      </c>
      <c r="K21" s="39" t="n">
        <v>60</v>
      </c>
      <c r="L21" s="39" t="n">
        <v>30</v>
      </c>
      <c r="M21" s="41" t="str">
        <f aca="false">A21&amp;" "&amp;B21&amp;" @ "&amp;TEXT(C21,"0.00")&amp;"mm.json"</f>
        <v>FELIX Plastic Super Fine @ 0.35mm.json</v>
      </c>
    </row>
    <row r="22" customFormat="false" ht="57.45" hidden="false" customHeight="false" outlineLevel="0" collapsed="false">
      <c r="A22" s="39" t="s">
        <v>125</v>
      </c>
      <c r="B22" s="39" t="s">
        <v>128</v>
      </c>
      <c r="C22" s="39" t="n">
        <v>0.35</v>
      </c>
      <c r="D22" s="39" t="s">
        <v>127</v>
      </c>
      <c r="E22" s="40" t="s">
        <v>61</v>
      </c>
      <c r="F22" s="39" t="n">
        <v>0.1</v>
      </c>
      <c r="G22" s="39" t="n">
        <v>0.25</v>
      </c>
      <c r="H22" s="39" t="n">
        <v>0.38</v>
      </c>
      <c r="I22" s="39" t="n">
        <v>6</v>
      </c>
      <c r="J22" s="39" t="n">
        <v>0.3</v>
      </c>
      <c r="K22" s="39" t="n">
        <v>60</v>
      </c>
      <c r="L22" s="39" t="n">
        <v>30</v>
      </c>
      <c r="M22" s="41" t="str">
        <f aca="false">A22&amp;" "&amp;B22&amp;" @ "&amp;TEXT(C22,"0.00")&amp;"mm.json"</f>
        <v>FELIX Plastic Very Fine @ 0.35mm.json</v>
      </c>
    </row>
    <row r="23" customFormat="false" ht="57.45" hidden="false" customHeight="false" outlineLevel="0" collapsed="false">
      <c r="A23" s="39" t="s">
        <v>125</v>
      </c>
      <c r="B23" s="39" t="s">
        <v>121</v>
      </c>
      <c r="C23" s="39" t="n">
        <v>0.35</v>
      </c>
      <c r="D23" s="39" t="s">
        <v>127</v>
      </c>
      <c r="E23" s="40" t="s">
        <v>61</v>
      </c>
      <c r="F23" s="39" t="n">
        <v>0.15</v>
      </c>
      <c r="G23" s="39" t="n">
        <v>0.25</v>
      </c>
      <c r="H23" s="39" t="n">
        <v>0.38</v>
      </c>
      <c r="I23" s="39" t="n">
        <v>5</v>
      </c>
      <c r="J23" s="39" t="n">
        <v>0.3</v>
      </c>
      <c r="K23" s="39" t="n">
        <v>60</v>
      </c>
      <c r="L23" s="39" t="n">
        <v>30</v>
      </c>
      <c r="M23" s="41" t="str">
        <f aca="false">A23&amp;" "&amp;B23&amp;" @ "&amp;TEXT(C23,"0.00")&amp;"mm.json"</f>
        <v>FELIX Plastic Fine @ 0.35mm.json</v>
      </c>
    </row>
    <row r="24" customFormat="false" ht="57.45" hidden="false" customHeight="false" outlineLevel="0" collapsed="false">
      <c r="A24" s="39" t="s">
        <v>125</v>
      </c>
      <c r="B24" s="39" t="s">
        <v>123</v>
      </c>
      <c r="C24" s="39" t="n">
        <v>0.35</v>
      </c>
      <c r="D24" s="39" t="s">
        <v>127</v>
      </c>
      <c r="E24" s="40" t="s">
        <v>61</v>
      </c>
      <c r="F24" s="39" t="n">
        <v>0.2</v>
      </c>
      <c r="G24" s="39" t="n">
        <v>0.25</v>
      </c>
      <c r="H24" s="39" t="n">
        <v>0.38</v>
      </c>
      <c r="I24" s="39" t="n">
        <v>4</v>
      </c>
      <c r="J24" s="39" t="n">
        <v>0.4</v>
      </c>
      <c r="K24" s="39" t="n">
        <v>60</v>
      </c>
      <c r="L24" s="39" t="n">
        <v>30</v>
      </c>
      <c r="M24" s="41" t="str">
        <f aca="false">A24&amp;" "&amp;B24&amp;" @ "&amp;TEXT(C24,"0.00")&amp;"mm.json"</f>
        <v>FELIX Plastic Normal @ 0.35mm.json</v>
      </c>
    </row>
    <row r="25" customFormat="false" ht="57.45" hidden="false" customHeight="false" outlineLevel="0" collapsed="false">
      <c r="A25" s="39" t="s">
        <v>125</v>
      </c>
      <c r="B25" s="39" t="s">
        <v>129</v>
      </c>
      <c r="C25" s="39" t="n">
        <v>0.35</v>
      </c>
      <c r="D25" s="39" t="s">
        <v>127</v>
      </c>
      <c r="E25" s="40" t="s">
        <v>61</v>
      </c>
      <c r="F25" s="39" t="n">
        <v>0.25</v>
      </c>
      <c r="G25" s="39" t="n">
        <v>0.25</v>
      </c>
      <c r="H25" s="39" t="n">
        <v>0.38</v>
      </c>
      <c r="I25" s="39" t="n">
        <v>4</v>
      </c>
      <c r="J25" s="39" t="n">
        <v>0.5</v>
      </c>
      <c r="K25" s="39" t="n">
        <v>60</v>
      </c>
      <c r="L25" s="39" t="n">
        <v>30</v>
      </c>
      <c r="M25" s="41" t="str">
        <f aca="false">A25&amp;" "&amp;B25&amp;" @ "&amp;TEXT(C25,"0.00")&amp;"mm.json"</f>
        <v>FELIX Plastic Slightly Coarse @ 0.35mm.json</v>
      </c>
    </row>
    <row r="26" customFormat="false" ht="57.45" hidden="false" customHeight="false" outlineLevel="0" collapsed="false">
      <c r="A26" s="39" t="s">
        <v>125</v>
      </c>
      <c r="B26" s="39" t="s">
        <v>124</v>
      </c>
      <c r="C26" s="39" t="n">
        <v>0.35</v>
      </c>
      <c r="D26" s="39" t="s">
        <v>127</v>
      </c>
      <c r="E26" s="40" t="s">
        <v>61</v>
      </c>
      <c r="F26" s="39" t="n">
        <v>0.3</v>
      </c>
      <c r="G26" s="39" t="n">
        <v>0.3</v>
      </c>
      <c r="H26" s="39" t="n">
        <v>0.38</v>
      </c>
      <c r="I26" s="39" t="n">
        <v>3</v>
      </c>
      <c r="J26" s="39" t="n">
        <v>0.3</v>
      </c>
      <c r="K26" s="39" t="n">
        <v>60</v>
      </c>
      <c r="L26" s="39" t="n">
        <v>30</v>
      </c>
      <c r="M26" s="41" t="str">
        <f aca="false">A26&amp;" "&amp;B26&amp;" @ "&amp;TEXT(C26,"0.00")&amp;"mm.json"</f>
        <v>FELIX Plastic Coarse @ 0.35mm.json</v>
      </c>
    </row>
    <row r="27" customFormat="false" ht="57.45" hidden="false" customHeight="false" outlineLevel="0" collapsed="false">
      <c r="A27" s="39" t="s">
        <v>125</v>
      </c>
      <c r="B27" s="39" t="s">
        <v>128</v>
      </c>
      <c r="C27" s="39" t="n">
        <v>0.5</v>
      </c>
      <c r="D27" s="39" t="s">
        <v>127</v>
      </c>
      <c r="E27" s="40" t="s">
        <v>62</v>
      </c>
      <c r="F27" s="39" t="n">
        <v>0.1</v>
      </c>
      <c r="G27" s="39" t="n">
        <v>0.25</v>
      </c>
      <c r="H27" s="39" t="n">
        <v>0.53</v>
      </c>
      <c r="I27" s="39" t="n">
        <v>6</v>
      </c>
      <c r="J27" s="39" t="n">
        <v>0.3</v>
      </c>
      <c r="K27" s="39" t="n">
        <v>60</v>
      </c>
      <c r="L27" s="39" t="n">
        <v>30</v>
      </c>
      <c r="M27" s="41" t="str">
        <f aca="false">A27&amp;" "&amp;B27&amp;" @ "&amp;TEXT(C27,"0.00")&amp;"mm.json"</f>
        <v>FELIX Plastic Very Fine @ 0.50mm.json</v>
      </c>
    </row>
    <row r="28" customFormat="false" ht="57.45" hidden="false" customHeight="false" outlineLevel="0" collapsed="false">
      <c r="A28" s="39" t="s">
        <v>125</v>
      </c>
      <c r="B28" s="39" t="s">
        <v>121</v>
      </c>
      <c r="C28" s="39" t="n">
        <v>0.5</v>
      </c>
      <c r="D28" s="39" t="s">
        <v>127</v>
      </c>
      <c r="E28" s="40" t="s">
        <v>62</v>
      </c>
      <c r="F28" s="39" t="n">
        <v>0.15</v>
      </c>
      <c r="G28" s="39" t="n">
        <v>0.25</v>
      </c>
      <c r="H28" s="39" t="n">
        <v>0.53</v>
      </c>
      <c r="I28" s="39" t="n">
        <v>5</v>
      </c>
      <c r="J28" s="39" t="n">
        <v>0.3</v>
      </c>
      <c r="K28" s="39" t="n">
        <v>60</v>
      </c>
      <c r="L28" s="39" t="n">
        <v>30</v>
      </c>
      <c r="M28" s="41" t="str">
        <f aca="false">A28&amp;" "&amp;B28&amp;" @ "&amp;TEXT(C28,"0.00")&amp;"mm.json"</f>
        <v>FELIX Plastic Fine @ 0.50mm.json</v>
      </c>
    </row>
    <row r="29" customFormat="false" ht="57.45" hidden="false" customHeight="false" outlineLevel="0" collapsed="false">
      <c r="A29" s="39" t="s">
        <v>125</v>
      </c>
      <c r="B29" s="39" t="s">
        <v>123</v>
      </c>
      <c r="C29" s="39" t="n">
        <v>0.5</v>
      </c>
      <c r="D29" s="39" t="s">
        <v>127</v>
      </c>
      <c r="E29" s="40" t="s">
        <v>62</v>
      </c>
      <c r="F29" s="39" t="n">
        <v>0.2</v>
      </c>
      <c r="G29" s="39" t="n">
        <v>0.25</v>
      </c>
      <c r="H29" s="39" t="n">
        <v>0.53</v>
      </c>
      <c r="I29" s="39" t="n">
        <v>4</v>
      </c>
      <c r="J29" s="39" t="n">
        <v>0.4</v>
      </c>
      <c r="K29" s="39" t="n">
        <v>60</v>
      </c>
      <c r="L29" s="39" t="n">
        <v>30</v>
      </c>
      <c r="M29" s="41" t="str">
        <f aca="false">A29&amp;" "&amp;B29&amp;" @ "&amp;TEXT(C29,"0.00")&amp;"mm.json"</f>
        <v>FELIX Plastic Normal @ 0.50mm.json</v>
      </c>
    </row>
    <row r="30" customFormat="false" ht="57.45" hidden="false" customHeight="false" outlineLevel="0" collapsed="false">
      <c r="A30" s="39" t="s">
        <v>125</v>
      </c>
      <c r="B30" s="39" t="s">
        <v>129</v>
      </c>
      <c r="C30" s="39" t="n">
        <v>0.5</v>
      </c>
      <c r="D30" s="39" t="s">
        <v>127</v>
      </c>
      <c r="E30" s="40" t="s">
        <v>62</v>
      </c>
      <c r="F30" s="39" t="n">
        <v>0.25</v>
      </c>
      <c r="G30" s="39" t="n">
        <v>0.25</v>
      </c>
      <c r="H30" s="39" t="n">
        <v>0.53</v>
      </c>
      <c r="I30" s="39" t="n">
        <v>4</v>
      </c>
      <c r="J30" s="39" t="n">
        <v>0.5</v>
      </c>
      <c r="K30" s="39" t="n">
        <v>60</v>
      </c>
      <c r="L30" s="39" t="n">
        <v>30</v>
      </c>
      <c r="M30" s="41" t="str">
        <f aca="false">A30&amp;" "&amp;B30&amp;" @ "&amp;TEXT(C30,"0.00")&amp;"mm.json"</f>
        <v>FELIX Plastic Slightly Coarse @ 0.50mm.json</v>
      </c>
    </row>
    <row r="31" customFormat="false" ht="57.45" hidden="false" customHeight="false" outlineLevel="0" collapsed="false">
      <c r="A31" s="39" t="s">
        <v>125</v>
      </c>
      <c r="B31" s="39" t="s">
        <v>124</v>
      </c>
      <c r="C31" s="39" t="n">
        <v>0.5</v>
      </c>
      <c r="D31" s="39" t="s">
        <v>127</v>
      </c>
      <c r="E31" s="40" t="s">
        <v>62</v>
      </c>
      <c r="F31" s="39" t="n">
        <v>0.3</v>
      </c>
      <c r="G31" s="39" t="n">
        <v>0.3</v>
      </c>
      <c r="H31" s="39" t="n">
        <v>0.53</v>
      </c>
      <c r="I31" s="39" t="n">
        <v>3</v>
      </c>
      <c r="J31" s="39" t="n">
        <v>0.3</v>
      </c>
      <c r="K31" s="39" t="n">
        <v>60</v>
      </c>
      <c r="L31" s="39" t="n">
        <v>30</v>
      </c>
      <c r="M31" s="41" t="str">
        <f aca="false">A31&amp;" "&amp;B31&amp;" @ "&amp;TEXT(C31,"0.00")&amp;"mm.json"</f>
        <v>FELIX Plastic Coarse @ 0.50mm.json</v>
      </c>
    </row>
    <row r="32" customFormat="false" ht="57.45" hidden="false" customHeight="false" outlineLevel="0" collapsed="false">
      <c r="A32" s="39" t="s">
        <v>125</v>
      </c>
      <c r="B32" s="39" t="s">
        <v>130</v>
      </c>
      <c r="C32" s="39" t="n">
        <v>0.5</v>
      </c>
      <c r="D32" s="39" t="s">
        <v>127</v>
      </c>
      <c r="E32" s="40" t="s">
        <v>62</v>
      </c>
      <c r="F32" s="39" t="n">
        <v>0.4</v>
      </c>
      <c r="G32" s="39" t="n">
        <v>0.4</v>
      </c>
      <c r="H32" s="39" t="n">
        <v>0.53</v>
      </c>
      <c r="I32" s="39" t="n">
        <v>3</v>
      </c>
      <c r="J32" s="39" t="n">
        <v>0.4</v>
      </c>
      <c r="K32" s="39" t="n">
        <v>50</v>
      </c>
      <c r="L32" s="39" t="n">
        <v>25</v>
      </c>
      <c r="M32" s="41" t="str">
        <f aca="false">A32&amp;" "&amp;B32&amp;" @ "&amp;TEXT(C32,"0.00")&amp;"mm.json"</f>
        <v>FELIX Plastic Very Coarse @ 0.50mm.json</v>
      </c>
    </row>
    <row r="33" customFormat="false" ht="57.45" hidden="false" customHeight="false" outlineLevel="0" collapsed="false">
      <c r="A33" s="39" t="s">
        <v>125</v>
      </c>
      <c r="B33" s="39" t="s">
        <v>121</v>
      </c>
      <c r="C33" s="39" t="n">
        <v>0.7</v>
      </c>
      <c r="D33" s="39" t="s">
        <v>127</v>
      </c>
      <c r="E33" s="40" t="s">
        <v>63</v>
      </c>
      <c r="F33" s="39" t="n">
        <v>0.15</v>
      </c>
      <c r="G33" s="39" t="n">
        <v>0.25</v>
      </c>
      <c r="H33" s="39" t="n">
        <v>0.73</v>
      </c>
      <c r="I33" s="39" t="n">
        <v>5</v>
      </c>
      <c r="J33" s="39" t="n">
        <v>0.3</v>
      </c>
      <c r="K33" s="39" t="n">
        <v>60</v>
      </c>
      <c r="L33" s="39" t="n">
        <v>30</v>
      </c>
      <c r="M33" s="41" t="str">
        <f aca="false">A33&amp;" "&amp;B33&amp;" @ "&amp;TEXT(C33,"0.00")&amp;"mm.json"</f>
        <v>FELIX Plastic Fine @ 0.70mm.json</v>
      </c>
    </row>
    <row r="34" customFormat="false" ht="57.45" hidden="false" customHeight="false" outlineLevel="0" collapsed="false">
      <c r="A34" s="39" t="s">
        <v>125</v>
      </c>
      <c r="B34" s="39" t="s">
        <v>123</v>
      </c>
      <c r="C34" s="39" t="n">
        <v>0.7</v>
      </c>
      <c r="D34" s="39" t="s">
        <v>127</v>
      </c>
      <c r="E34" s="40" t="s">
        <v>63</v>
      </c>
      <c r="F34" s="39" t="n">
        <v>0.2</v>
      </c>
      <c r="G34" s="39" t="n">
        <v>0.25</v>
      </c>
      <c r="H34" s="39" t="n">
        <v>0.73</v>
      </c>
      <c r="I34" s="39" t="n">
        <v>4</v>
      </c>
      <c r="J34" s="39" t="n">
        <v>0.4</v>
      </c>
      <c r="K34" s="39" t="n">
        <v>60</v>
      </c>
      <c r="L34" s="39" t="n">
        <v>30</v>
      </c>
      <c r="M34" s="41" t="str">
        <f aca="false">A34&amp;" "&amp;B34&amp;" @ "&amp;TEXT(C34,"0.00")&amp;"mm.json"</f>
        <v>FELIX Plastic Normal @ 0.70mm.json</v>
      </c>
    </row>
    <row r="35" customFormat="false" ht="57.45" hidden="false" customHeight="false" outlineLevel="0" collapsed="false">
      <c r="A35" s="39" t="s">
        <v>125</v>
      </c>
      <c r="B35" s="39" t="s">
        <v>129</v>
      </c>
      <c r="C35" s="39" t="n">
        <v>0.7</v>
      </c>
      <c r="D35" s="39" t="s">
        <v>127</v>
      </c>
      <c r="E35" s="40" t="s">
        <v>63</v>
      </c>
      <c r="F35" s="39" t="n">
        <v>0.25</v>
      </c>
      <c r="G35" s="39" t="n">
        <v>0.25</v>
      </c>
      <c r="H35" s="39" t="n">
        <v>0.73</v>
      </c>
      <c r="I35" s="39" t="n">
        <v>4</v>
      </c>
      <c r="J35" s="39" t="n">
        <v>0.5</v>
      </c>
      <c r="K35" s="39" t="n">
        <v>60</v>
      </c>
      <c r="L35" s="39" t="n">
        <v>30</v>
      </c>
      <c r="M35" s="41" t="str">
        <f aca="false">A35&amp;" "&amp;B35&amp;" @ "&amp;TEXT(C35,"0.00")&amp;"mm.json"</f>
        <v>FELIX Plastic Slightly Coarse @ 0.70mm.json</v>
      </c>
    </row>
    <row r="36" customFormat="false" ht="57.45" hidden="false" customHeight="false" outlineLevel="0" collapsed="false">
      <c r="A36" s="39" t="s">
        <v>125</v>
      </c>
      <c r="B36" s="39" t="s">
        <v>124</v>
      </c>
      <c r="C36" s="39" t="n">
        <v>0.7</v>
      </c>
      <c r="D36" s="39" t="s">
        <v>127</v>
      </c>
      <c r="E36" s="40" t="s">
        <v>63</v>
      </c>
      <c r="F36" s="39" t="n">
        <v>0.3</v>
      </c>
      <c r="G36" s="39" t="n">
        <v>0.3</v>
      </c>
      <c r="H36" s="39" t="n">
        <v>0.73</v>
      </c>
      <c r="I36" s="39" t="n">
        <v>3</v>
      </c>
      <c r="J36" s="39" t="n">
        <v>0.3</v>
      </c>
      <c r="K36" s="39" t="n">
        <v>60</v>
      </c>
      <c r="L36" s="39" t="n">
        <v>30</v>
      </c>
      <c r="M36" s="41" t="str">
        <f aca="false">A36&amp;" "&amp;B36&amp;" @ "&amp;TEXT(C36,"0.00")&amp;"mm.json"</f>
        <v>FELIX Plastic Coarse @ 0.70mm.json</v>
      </c>
    </row>
    <row r="37" customFormat="false" ht="57.45" hidden="false" customHeight="false" outlineLevel="0" collapsed="false">
      <c r="A37" s="39" t="s">
        <v>125</v>
      </c>
      <c r="B37" s="39" t="s">
        <v>130</v>
      </c>
      <c r="C37" s="39" t="n">
        <v>0.7</v>
      </c>
      <c r="D37" s="39" t="s">
        <v>127</v>
      </c>
      <c r="E37" s="40" t="s">
        <v>63</v>
      </c>
      <c r="F37" s="39" t="n">
        <v>0.4</v>
      </c>
      <c r="G37" s="39" t="n">
        <v>0.4</v>
      </c>
      <c r="H37" s="39" t="n">
        <v>0.73</v>
      </c>
      <c r="I37" s="39" t="n">
        <v>3</v>
      </c>
      <c r="J37" s="39" t="n">
        <v>0.4</v>
      </c>
      <c r="K37" s="39" t="n">
        <v>50</v>
      </c>
      <c r="L37" s="39" t="n">
        <v>25</v>
      </c>
      <c r="M37" s="41" t="str">
        <f aca="false">A37&amp;" "&amp;B37&amp;" @ "&amp;TEXT(C37,"0.00")&amp;"mm.json"</f>
        <v>FELIX Plastic Very Coarse @ 0.70mm.json</v>
      </c>
    </row>
    <row r="38" customFormat="false" ht="57.45" hidden="false" customHeight="false" outlineLevel="0" collapsed="false">
      <c r="A38" s="39" t="s">
        <v>125</v>
      </c>
      <c r="B38" s="39" t="s">
        <v>131</v>
      </c>
      <c r="C38" s="39" t="n">
        <v>0.7</v>
      </c>
      <c r="D38" s="39" t="s">
        <v>127</v>
      </c>
      <c r="E38" s="40" t="s">
        <v>63</v>
      </c>
      <c r="F38" s="39" t="n">
        <v>0.5</v>
      </c>
      <c r="G38" s="39" t="n">
        <v>0.5</v>
      </c>
      <c r="H38" s="39" t="n">
        <v>0.73</v>
      </c>
      <c r="I38" s="39" t="n">
        <v>3</v>
      </c>
      <c r="J38" s="39" t="n">
        <v>0.5</v>
      </c>
      <c r="K38" s="39" t="n">
        <v>40</v>
      </c>
      <c r="L38" s="39" t="n">
        <v>20</v>
      </c>
      <c r="M38" s="41" t="str">
        <f aca="false">A38&amp;" "&amp;B38&amp;" @ "&amp;TEXT(C38,"0.00")&amp;"mm.json"</f>
        <v>FELIX Plastic Super Coarse @ 0.70mm.json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2026-09-28T13:06:05Z</dcterms:created>
  <dc:creator>openpyxl</dc:creator>
  <dc:description/>
  <dc:language>en-GB</dc:language>
  <cp:lastModifiedBy/>
  <dcterms:modified xsi:type="dcterms:W3CDTF">2026-10-11T14:48:33Z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